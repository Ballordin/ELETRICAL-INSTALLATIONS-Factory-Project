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f22dee754c163/ESCOLA/EEC3/1º Semestre/Instalações Elétricas/TP FINAL/calculations/"/>
    </mc:Choice>
  </mc:AlternateContent>
  <xr:revisionPtr revIDLastSave="2" documentId="8_{76825A8D-CE51-4D7D-A822-BB345B02E179}" xr6:coauthVersionLast="47" xr6:coauthVersionMax="47" xr10:uidLastSave="{10EF3B6D-BE8E-4D11-AE82-84C322D6AB41}"/>
  <bookViews>
    <workbookView xWindow="-98" yWindow="-98" windowWidth="24196" windowHeight="15196" xr2:uid="{9562D6E2-07C7-46A5-B96F-53B7430DE0DA}"/>
  </bookViews>
  <sheets>
    <sheet name="Balanço de Potências" sheetId="3" r:id="rId1"/>
    <sheet name="Auxiliares-D" sheetId="2" r:id="rId2"/>
  </sheets>
  <definedNames>
    <definedName name="Método_A">'Auxiliares-D'!$U$4:$U$8</definedName>
    <definedName name="Método_A2">'Auxiliares-D'!$V$4:$V$5</definedName>
    <definedName name="Método_B">'Auxiliares-D'!$W$4:$W$16</definedName>
    <definedName name="Método_B2">'Auxiliares-D'!$X$4:$X$12</definedName>
    <definedName name="Método_C">'Auxiliares-D'!$Y$4:$Y$9</definedName>
    <definedName name="Método_D">'Auxiliares-D'!$Z$4:$Z$6</definedName>
    <definedName name="Método_E">'Auxiliares-D'!$AA$4:$AA$8</definedName>
    <definedName name="Método_F">'Auxiliares-D'!$AB$4:$AB$7</definedName>
    <definedName name="Método_G">'Auxiliares-D'!$AC$4:$AC$8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3" l="1"/>
  <c r="D74" i="3" s="1"/>
  <c r="F95" i="3"/>
  <c r="J95" i="3" s="1"/>
  <c r="F94" i="3"/>
  <c r="J94" i="3" s="1"/>
  <c r="F93" i="3"/>
  <c r="J93" i="3" s="1"/>
  <c r="J92" i="3"/>
  <c r="F92" i="3"/>
  <c r="F91" i="3"/>
  <c r="J91" i="3" s="1"/>
  <c r="F90" i="3"/>
  <c r="J90" i="3" s="1"/>
  <c r="F89" i="3"/>
  <c r="F88" i="3"/>
  <c r="J88" i="3" s="1"/>
  <c r="F87" i="3"/>
  <c r="J87" i="3" s="1"/>
  <c r="F86" i="3"/>
  <c r="J86" i="3" s="1"/>
  <c r="F85" i="3"/>
  <c r="J85" i="3" s="1"/>
  <c r="F84" i="3"/>
  <c r="J84" i="3" s="1"/>
  <c r="F83" i="3"/>
  <c r="J83" i="3" s="1"/>
  <c r="F82" i="3"/>
  <c r="J82" i="3" s="1"/>
  <c r="AG12" i="2"/>
  <c r="AG11" i="2"/>
  <c r="AG10" i="2"/>
  <c r="AG9" i="2"/>
  <c r="AG8" i="2"/>
  <c r="AG7" i="2"/>
  <c r="AG6" i="2"/>
  <c r="AG5" i="2"/>
  <c r="AG4" i="2"/>
  <c r="J52" i="3" l="1"/>
  <c r="H51" i="3"/>
  <c r="L51" i="3" s="1"/>
  <c r="H50" i="3"/>
  <c r="L50" i="3" s="1"/>
  <c r="H49" i="3"/>
  <c r="L49" i="3" s="1"/>
  <c r="H48" i="3"/>
  <c r="L48" i="3" s="1"/>
  <c r="H47" i="3"/>
  <c r="L47" i="3" s="1"/>
  <c r="H46" i="3"/>
  <c r="L46" i="3" s="1"/>
  <c r="H45" i="3"/>
  <c r="L45" i="3" s="1"/>
  <c r="H44" i="3"/>
  <c r="L44" i="3" s="1"/>
  <c r="H43" i="3"/>
  <c r="L43" i="3" s="1"/>
  <c r="H42" i="3"/>
  <c r="L42" i="3" s="1"/>
  <c r="H41" i="3"/>
  <c r="L41" i="3" s="1"/>
  <c r="H40" i="3"/>
  <c r="L40" i="3" s="1"/>
  <c r="H39" i="3"/>
  <c r="L39" i="3" s="1"/>
  <c r="H38" i="3"/>
  <c r="G12" i="3"/>
  <c r="I12" i="3" s="1"/>
  <c r="G13" i="3"/>
  <c r="I13" i="3" s="1"/>
  <c r="G14" i="3"/>
  <c r="M14" i="3" s="1"/>
  <c r="O14" i="3" s="1"/>
  <c r="G15" i="3"/>
  <c r="I15" i="3" s="1"/>
  <c r="G16" i="3"/>
  <c r="I16" i="3" s="1"/>
  <c r="G17" i="3"/>
  <c r="I17" i="3" s="1"/>
  <c r="G18" i="3"/>
  <c r="M18" i="3" s="1"/>
  <c r="O18" i="3" s="1"/>
  <c r="G19" i="3"/>
  <c r="M19" i="3" s="1"/>
  <c r="O19" i="3" s="1"/>
  <c r="H52" i="3" l="1"/>
  <c r="L38" i="3"/>
  <c r="L52" i="3" s="1"/>
  <c r="I19" i="3"/>
  <c r="M17" i="3"/>
  <c r="O17" i="3" s="1"/>
  <c r="M16" i="3"/>
  <c r="O16" i="3" s="1"/>
  <c r="M15" i="3"/>
  <c r="O15" i="3" s="1"/>
  <c r="M13" i="3"/>
  <c r="O13" i="3" s="1"/>
  <c r="M12" i="3"/>
  <c r="O12" i="3" s="1"/>
  <c r="I18" i="3"/>
  <c r="I14" i="3"/>
  <c r="G10" i="3" l="1"/>
  <c r="G11" i="3"/>
  <c r="I11" i="3" s="1"/>
  <c r="I10" i="3" l="1"/>
  <c r="M10" i="3"/>
  <c r="M11" i="3"/>
  <c r="O11" i="3" s="1"/>
  <c r="O10" i="3" l="1"/>
  <c r="M20" i="3"/>
</calcChain>
</file>

<file path=xl/sharedStrings.xml><?xml version="1.0" encoding="utf-8"?>
<sst xmlns="http://schemas.openxmlformats.org/spreadsheetml/2006/main" count="248" uniqueCount="170">
  <si>
    <t>Caracteristicas das cargas</t>
  </si>
  <si>
    <t>Equipamento</t>
  </si>
  <si>
    <t>S (kVA)</t>
  </si>
  <si>
    <t>P (kW)</t>
  </si>
  <si>
    <r>
      <t xml:space="preserve">cos </t>
    </r>
    <r>
      <rPr>
        <b/>
        <sz val="11"/>
        <color theme="1"/>
        <rFont val="Aptos Narrow"/>
        <family val="2"/>
      </rPr>
      <t>φ</t>
    </r>
  </si>
  <si>
    <t>Tensão (V)</t>
  </si>
  <si>
    <t>Ku</t>
  </si>
  <si>
    <t>Ks</t>
  </si>
  <si>
    <t>Ke</t>
  </si>
  <si>
    <t>S' (kVA)</t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</si>
  <si>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(A)</t>
    </r>
  </si>
  <si>
    <t>I'B (A)</t>
  </si>
  <si>
    <t>Total</t>
  </si>
  <si>
    <t>Tensões</t>
  </si>
  <si>
    <t>In</t>
  </si>
  <si>
    <t>I2</t>
  </si>
  <si>
    <t>D</t>
  </si>
  <si>
    <t>DR</t>
  </si>
  <si>
    <t>F</t>
  </si>
  <si>
    <t>&gt; 16</t>
  </si>
  <si>
    <t>&lt;= 16</t>
  </si>
  <si>
    <t>&lt;= 4</t>
  </si>
  <si>
    <t>1.45  * IN</t>
  </si>
  <si>
    <t>1.3 * IN</t>
  </si>
  <si>
    <t>2.1 * IN</t>
  </si>
  <si>
    <t>1.9 * IN</t>
  </si>
  <si>
    <t>1.6 * IN</t>
  </si>
  <si>
    <t>Balanço de Potências</t>
  </si>
  <si>
    <t>Tipo Instalações</t>
  </si>
  <si>
    <t>%</t>
  </si>
  <si>
    <t>Al</t>
  </si>
  <si>
    <t>Cu</t>
  </si>
  <si>
    <t>Resistividade</t>
  </si>
  <si>
    <t>A</t>
  </si>
  <si>
    <t>B</t>
  </si>
  <si>
    <t>E</t>
  </si>
  <si>
    <t>G</t>
  </si>
  <si>
    <t>PVC</t>
  </si>
  <si>
    <t>11A</t>
  </si>
  <si>
    <t>33A</t>
  </si>
  <si>
    <t>34A</t>
  </si>
  <si>
    <t>Métodos e Ref. Méodos  (pag.250)</t>
  </si>
  <si>
    <t>Semi-condutores</t>
  </si>
  <si>
    <t>Natureza</t>
  </si>
  <si>
    <t>Isolamentos</t>
  </si>
  <si>
    <t>XLPE/EPR</t>
  </si>
  <si>
    <t>Mineral</t>
  </si>
  <si>
    <t>A2_</t>
  </si>
  <si>
    <t>B2_</t>
  </si>
  <si>
    <t>C_</t>
  </si>
  <si>
    <t>Instalação coletiva - coluna</t>
  </si>
  <si>
    <t>Secção 
(Corrente Admissível)</t>
  </si>
  <si>
    <t>Tipos de 
proteção</t>
  </si>
  <si>
    <t>Instalação Media Tensão (iluminação)</t>
  </si>
  <si>
    <t>Instalação Baixa Tensão (iluminação)</t>
  </si>
  <si>
    <t>Instalação coletiva - entrada</t>
  </si>
  <si>
    <t>Entrada individual - portinhola</t>
  </si>
  <si>
    <t>Instalação Baixa Tensão (outros usos)</t>
  </si>
  <si>
    <t>Instalação Media Tensão (outros usos)</t>
  </si>
  <si>
    <t>Tabelas 52-C</t>
  </si>
  <si>
    <t>Esquadrejadora</t>
  </si>
  <si>
    <t>CNC</t>
  </si>
  <si>
    <t>Plaina</t>
  </si>
  <si>
    <t>Desengrossadora</t>
  </si>
  <si>
    <t>Lixadeira</t>
  </si>
  <si>
    <t>Serra de Precisão</t>
  </si>
  <si>
    <t>Furadora de Dobradiças</t>
  </si>
  <si>
    <t>Orladora</t>
  </si>
  <si>
    <t>Máquina de Moldagem Automática</t>
  </si>
  <si>
    <t>Compressor</t>
  </si>
  <si>
    <t>Robland NZ 3200</t>
  </si>
  <si>
    <t>Weeke BP 60</t>
  </si>
  <si>
    <t>Frama G-510</t>
  </si>
  <si>
    <t>MIDA D6</t>
  </si>
  <si>
    <t>KUNDIG DUPLEX</t>
  </si>
  <si>
    <t>OMGA T55 300</t>
  </si>
  <si>
    <t>MINI JUNIOR UNIHOLZ</t>
  </si>
  <si>
    <t>SCM Minimax ME 40</t>
  </si>
  <si>
    <t>FRAMA S3.1-A2.8</t>
  </si>
  <si>
    <t>RS-H 15,0</t>
  </si>
  <si>
    <t>Potência e Circuitos dos variados setores</t>
  </si>
  <si>
    <t>Setor</t>
  </si>
  <si>
    <t>Area (m2)</t>
  </si>
  <si>
    <t>Iluminação (VA/m2)</t>
  </si>
  <si>
    <t>Iluminação total (VA)</t>
  </si>
  <si>
    <t>Reserva para 
diferentes equipamentos</t>
  </si>
  <si>
    <t>Potência Total (VA)</t>
  </si>
  <si>
    <t>Gerência (QE-G)</t>
  </si>
  <si>
    <t>Area</t>
  </si>
  <si>
    <t>Estimated (VA/m2)</t>
  </si>
  <si>
    <t>Administrativa-Financeira (QE-A.AF)</t>
  </si>
  <si>
    <t>Iluminação</t>
  </si>
  <si>
    <t>Heavy-duty works</t>
  </si>
  <si>
    <t>Sala de Reuniões (QE-S.R)</t>
  </si>
  <si>
    <t>Day-today work: office work</t>
  </si>
  <si>
    <t>Planeamento (QE-P)</t>
  </si>
  <si>
    <t>Painting workshop</t>
  </si>
  <si>
    <t>Área de Lazer (QE-A.L)</t>
  </si>
  <si>
    <t>Intermitente work</t>
  </si>
  <si>
    <t>Area de Circulação (QE-AC)</t>
  </si>
  <si>
    <t>A/C</t>
  </si>
  <si>
    <t>Cargas e Descargas (QE-CD)</t>
  </si>
  <si>
    <t>Balneários (QE-B)</t>
  </si>
  <si>
    <t>Area de Produção 1 (QE-AP1)</t>
  </si>
  <si>
    <t>Secagem (QE-SEC)</t>
  </si>
  <si>
    <t>Pintura (QE-PIN)</t>
  </si>
  <si>
    <t>Area de Produção 2 (QE-AP2)</t>
  </si>
  <si>
    <t>Armazém de Placas (QE-A.P)</t>
  </si>
  <si>
    <t>Armazém de Material (QE-A.M)</t>
  </si>
  <si>
    <t>QP-SA</t>
  </si>
  <si>
    <t>QP-AP1</t>
  </si>
  <si>
    <t>QP-AP2</t>
  </si>
  <si>
    <t>QP-CD</t>
  </si>
  <si>
    <t xml:space="preserve">Balanço de potência </t>
  </si>
  <si>
    <t>Potências Quadros Parciais</t>
  </si>
  <si>
    <t>Quadro</t>
  </si>
  <si>
    <t>Potência por area</t>
  </si>
  <si>
    <t>Balanço de potência</t>
  </si>
  <si>
    <t>Tomadas e Iluminação por diferente setor</t>
  </si>
  <si>
    <t>AP1</t>
  </si>
  <si>
    <t>SECAGEM</t>
  </si>
  <si>
    <t>PINTURA</t>
  </si>
  <si>
    <t>AP2</t>
  </si>
  <si>
    <t>ARMAZÉM PLACAS</t>
  </si>
  <si>
    <t>ARMAZÉM MATERIAL</t>
  </si>
  <si>
    <t>CARGAS E DESCARGAS</t>
  </si>
  <si>
    <t>BALNEÁRIOS</t>
  </si>
  <si>
    <t>ÁREA DE CIRCULAÇÃO</t>
  </si>
  <si>
    <t>ÁREA DE LAZER</t>
  </si>
  <si>
    <t>PLANEAMENTO</t>
  </si>
  <si>
    <t>SALA DE REUNIOES</t>
  </si>
  <si>
    <t>AREA ADMINISTRATIVA-FINANCEIRA</t>
  </si>
  <si>
    <t>GERÊNCIA</t>
  </si>
  <si>
    <t>Nº Tomadas</t>
  </si>
  <si>
    <t>2x Frigorífico</t>
  </si>
  <si>
    <t>2x Microondas</t>
  </si>
  <si>
    <t>2x Vending Machine</t>
  </si>
  <si>
    <t>Carregamento de Máquinas a Bateria</t>
  </si>
  <si>
    <t>Ventiladores</t>
  </si>
  <si>
    <t>Coluna / Rádio</t>
  </si>
  <si>
    <t>Sopro de Ar (Higiene das Maos)</t>
  </si>
  <si>
    <t>Carregamento de Empilhador Elétrico</t>
  </si>
  <si>
    <t xml:space="preserve">Reserva </t>
  </si>
  <si>
    <t>Ar Condicionado</t>
  </si>
  <si>
    <t>Eletrónicos Usáveis</t>
  </si>
  <si>
    <t>Tipo de Iluminação</t>
  </si>
  <si>
    <t>Lumináreas Lineares</t>
  </si>
  <si>
    <t>Luminárias LED industriais</t>
  </si>
  <si>
    <t>Luminárias tipo Plafon</t>
  </si>
  <si>
    <t>Ref.</t>
  </si>
  <si>
    <t>Quadros</t>
  </si>
  <si>
    <t>Potências do PT</t>
  </si>
  <si>
    <t>Somatorio das Potencias</t>
  </si>
  <si>
    <t>Fator de escalonamento</t>
  </si>
  <si>
    <t>Potencia total (kVA)</t>
  </si>
  <si>
    <t>Tipo de Aplicação</t>
  </si>
  <si>
    <t>LUX (Lumen/Area(m2))</t>
  </si>
  <si>
    <t>Lumens Necessários</t>
  </si>
  <si>
    <t>Lumen da Iluminação</t>
  </si>
  <si>
    <t>Referência</t>
  </si>
  <si>
    <t>Nº de Iluminações</t>
  </si>
  <si>
    <t>Iluminações Usadas</t>
  </si>
  <si>
    <t>Itens Dentro do Setor</t>
  </si>
  <si>
    <t>Fabricação e Assemblagem de grandes peças</t>
  </si>
  <si>
    <t>https://www.ledbox.es/pt/campanula-linear-industrial-led/ecra-led-linelux-chip-50w-150cm</t>
  </si>
  <si>
    <t>Trabalhos de Alta Precisão</t>
  </si>
  <si>
    <t>https://www.ledbox.es/pt/campanulas-led-industriais/campanula-industrial-ufo-100w-epistar-triac</t>
  </si>
  <si>
    <t>Trabalho Intermitente</t>
  </si>
  <si>
    <t>https://www.sklum.com/pt/comprar-lampada-de-tecto/114909-plafon-led-o40-cm-cosmin.html</t>
  </si>
  <si>
    <t>Trabalho de 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</si>
</sst>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1B1C1D"/>
      <name val="Aptos Narrow"/>
      <family val="2"/>
      <scheme val="minor"/>
    </font>
    <font>
      <sz val="11"/>
      <color rgb="FF1B1C1D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/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6" borderId="3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7" xfId="0" applyFont="1" applyFill="1" applyBorder="1" applyAlignment="1">
      <alignment horizontal="right"/>
    </xf>
    <xf numFmtId="0" fontId="0" fillId="13" borderId="10" xfId="0" applyFill="1" applyBorder="1"/>
    <xf numFmtId="0" fontId="0" fillId="13" borderId="6" xfId="0" applyFill="1" applyBorder="1"/>
    <xf numFmtId="0" fontId="0" fillId="7" borderId="9" xfId="0" applyFill="1" applyBorder="1"/>
    <xf numFmtId="0" fontId="0" fillId="7" borderId="39" xfId="0" applyFill="1" applyBorder="1"/>
    <xf numFmtId="0" fontId="0" fillId="7" borderId="4" xfId="0" applyFill="1" applyBorder="1"/>
    <xf numFmtId="0" fontId="0" fillId="7" borderId="5" xfId="0" applyFill="1" applyBorder="1"/>
    <xf numFmtId="0" fontId="1" fillId="1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center"/>
    </xf>
    <xf numFmtId="0" fontId="0" fillId="7" borderId="40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2" fontId="0" fillId="7" borderId="8" xfId="0" applyNumberFormat="1" applyFill="1" applyBorder="1" applyAlignment="1">
      <alignment horizontal="center" vertical="center"/>
    </xf>
    <xf numFmtId="0" fontId="0" fillId="7" borderId="39" xfId="0" applyFill="1" applyBorder="1" applyAlignment="1">
      <alignment horizontal="left" vertical="center"/>
    </xf>
    <xf numFmtId="0" fontId="1" fillId="13" borderId="5" xfId="0" applyFont="1" applyFill="1" applyBorder="1" applyAlignment="1">
      <alignment horizontal="center" vertical="center"/>
    </xf>
    <xf numFmtId="0" fontId="0" fillId="7" borderId="37" xfId="0" applyFill="1" applyBorder="1" applyAlignment="1">
      <alignment horizontal="left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right" vertical="center"/>
    </xf>
    <xf numFmtId="2" fontId="0" fillId="6" borderId="32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14" xfId="0" applyFill="1" applyBorder="1"/>
    <xf numFmtId="0" fontId="0" fillId="3" borderId="16" xfId="0" applyFill="1" applyBorder="1"/>
    <xf numFmtId="0" fontId="11" fillId="15" borderId="17" xfId="0" applyFont="1" applyFill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2" fontId="0" fillId="4" borderId="45" xfId="0" applyNumberFormat="1" applyFill="1" applyBorder="1" applyAlignment="1">
      <alignment horizontal="center" vertical="center"/>
    </xf>
    <xf numFmtId="2" fontId="0" fillId="4" borderId="43" xfId="0" applyNumberFormat="1" applyFill="1" applyBorder="1" applyAlignment="1">
      <alignment horizontal="center" vertical="center"/>
    </xf>
    <xf numFmtId="0" fontId="12" fillId="3" borderId="44" xfId="0" applyFont="1" applyFill="1" applyBorder="1"/>
    <xf numFmtId="0" fontId="12" fillId="3" borderId="22" xfId="0" applyFont="1" applyFill="1" applyBorder="1"/>
    <xf numFmtId="0" fontId="12" fillId="3" borderId="24" xfId="0" applyFont="1" applyFill="1" applyBorder="1"/>
    <xf numFmtId="0" fontId="0" fillId="10" borderId="20" xfId="0" applyFill="1" applyBorder="1" applyAlignment="1">
      <alignment horizontal="left" vertical="center"/>
    </xf>
    <xf numFmtId="0" fontId="0" fillId="10" borderId="22" xfId="0" applyFill="1" applyBorder="1" applyAlignment="1">
      <alignment horizontal="left" vertical="center"/>
    </xf>
    <xf numFmtId="0" fontId="0" fillId="10" borderId="24" xfId="0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4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2" fontId="0" fillId="4" borderId="54" xfId="0" applyNumberForma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16" fontId="9" fillId="0" borderId="0" xfId="0" applyNumberFormat="1" applyFont="1" applyAlignment="1">
      <alignment horizontal="center" vertical="center" wrapText="1" readingOrder="1"/>
    </xf>
    <xf numFmtId="0" fontId="5" fillId="1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vertical="center" wrapText="1"/>
    </xf>
    <xf numFmtId="2" fontId="15" fillId="7" borderId="16" xfId="0" applyNumberFormat="1" applyFont="1" applyFill="1" applyBorder="1" applyAlignment="1">
      <alignment horizontal="center" vertical="center"/>
    </xf>
    <xf numFmtId="2" fontId="15" fillId="7" borderId="17" xfId="0" applyNumberFormat="1" applyFont="1" applyFill="1" applyBorder="1" applyAlignment="1">
      <alignment horizontal="center" vertical="center"/>
    </xf>
    <xf numFmtId="1" fontId="15" fillId="4" borderId="18" xfId="0" applyNumberFormat="1" applyFont="1" applyFill="1" applyBorder="1" applyAlignment="1">
      <alignment horizontal="center" vertical="center"/>
    </xf>
    <xf numFmtId="0" fontId="0" fillId="3" borderId="45" xfId="0" applyFill="1" applyBorder="1"/>
    <xf numFmtId="0" fontId="0" fillId="7" borderId="21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4" xfId="0" applyFill="1" applyBorder="1"/>
    <xf numFmtId="0" fontId="0" fillId="7" borderId="23" xfId="0" applyFill="1" applyBorder="1" applyAlignment="1">
      <alignment horizontal="center" vertical="center"/>
    </xf>
    <xf numFmtId="0" fontId="0" fillId="3" borderId="43" xfId="0" applyFill="1" applyBorder="1"/>
    <xf numFmtId="0" fontId="0" fillId="7" borderId="43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1" borderId="42" xfId="0" applyFont="1" applyFill="1" applyBorder="1" applyAlignment="1">
      <alignment horizontal="center" vertical="center"/>
    </xf>
    <xf numFmtId="0" fontId="1" fillId="11" borderId="43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3" fillId="5" borderId="27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2" fontId="0" fillId="7" borderId="8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33" xfId="0" applyFont="1" applyFill="1" applyBorder="1" applyAlignment="1">
      <alignment horizontal="left" vertical="center"/>
    </xf>
    <xf numFmtId="0" fontId="0" fillId="12" borderId="27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1" fillId="8" borderId="48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1" fillId="9" borderId="53" xfId="0" applyFont="1" applyFill="1" applyBorder="1" applyAlignment="1">
      <alignment horizontal="center" vertical="center"/>
    </xf>
    <xf numFmtId="0" fontId="1" fillId="9" borderId="5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" fillId="13" borderId="41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1" fontId="0" fillId="3" borderId="39" xfId="0" applyNumberFormat="1" applyFill="1" applyBorder="1" applyAlignment="1">
      <alignment horizontal="center" vertical="center"/>
    </xf>
    <xf numFmtId="1" fontId="0" fillId="3" borderId="23" xfId="0" applyNumberFormat="1" applyFill="1" applyBorder="1" applyAlignment="1">
      <alignment horizontal="center" vertical="center"/>
    </xf>
    <xf numFmtId="0" fontId="0" fillId="7" borderId="47" xfId="0" applyFill="1" applyBorder="1" applyAlignment="1">
      <alignment horizontal="center"/>
    </xf>
    <xf numFmtId="0" fontId="0" fillId="7" borderId="48" xfId="0" applyFill="1" applyBorder="1" applyAlignment="1">
      <alignment horizontal="center"/>
    </xf>
    <xf numFmtId="0" fontId="0" fillId="20" borderId="22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18" borderId="39" xfId="0" applyFill="1" applyBorder="1" applyAlignment="1">
      <alignment horizontal="center" vertical="center"/>
    </xf>
    <xf numFmtId="0" fontId="3" fillId="16" borderId="47" xfId="0" applyFont="1" applyFill="1" applyBorder="1" applyAlignment="1">
      <alignment horizontal="center" vertical="center"/>
    </xf>
    <xf numFmtId="0" fontId="3" fillId="16" borderId="48" xfId="0" applyFont="1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3" fillId="8" borderId="46" xfId="0" applyFont="1" applyFill="1" applyBorder="1" applyAlignment="1">
      <alignment horizontal="center" vertical="center"/>
    </xf>
    <xf numFmtId="0" fontId="3" fillId="8" borderId="47" xfId="0" applyFont="1" applyFill="1" applyBorder="1" applyAlignment="1">
      <alignment horizontal="center" vertical="center"/>
    </xf>
    <xf numFmtId="0" fontId="3" fillId="19" borderId="46" xfId="0" applyFont="1" applyFill="1" applyBorder="1" applyAlignment="1">
      <alignment horizontal="center" vertical="center"/>
    </xf>
    <xf numFmtId="0" fontId="3" fillId="19" borderId="48" xfId="0" applyFont="1" applyFill="1" applyBorder="1" applyAlignment="1">
      <alignment horizontal="center" vertical="center"/>
    </xf>
    <xf numFmtId="0" fontId="3" fillId="16" borderId="46" xfId="0" applyFont="1" applyFill="1" applyBorder="1" applyAlignment="1">
      <alignment horizontal="center" vertical="center"/>
    </xf>
    <xf numFmtId="0" fontId="3" fillId="16" borderId="46" xfId="0" applyFont="1" applyFill="1" applyBorder="1" applyAlignment="1">
      <alignment horizontal="center" vertical="center" wrapText="1"/>
    </xf>
    <xf numFmtId="1" fontId="0" fillId="3" borderId="22" xfId="0" applyNumberFormat="1" applyFill="1" applyBorder="1" applyAlignment="1">
      <alignment horizontal="center"/>
    </xf>
    <xf numFmtId="1" fontId="0" fillId="3" borderId="23" xfId="0" applyNumberFormat="1" applyFill="1" applyBorder="1" applyAlignment="1">
      <alignment horizontal="center"/>
    </xf>
    <xf numFmtId="1" fontId="0" fillId="3" borderId="39" xfId="0" applyNumberFormat="1" applyFill="1" applyBorder="1" applyAlignment="1">
      <alignment horizontal="center"/>
    </xf>
    <xf numFmtId="0" fontId="0" fillId="12" borderId="27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3" borderId="46" xfId="0" applyFill="1" applyBorder="1" applyAlignment="1">
      <alignment horizontal="left" vertical="center"/>
    </xf>
    <xf numFmtId="0" fontId="0" fillId="3" borderId="47" xfId="0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8" borderId="24" xfId="0" applyFill="1" applyBorder="1" applyAlignment="1">
      <alignment horizontal="center"/>
    </xf>
    <xf numFmtId="0" fontId="0" fillId="18" borderId="30" xfId="0" applyFill="1" applyBorder="1" applyAlignment="1">
      <alignment horizontal="center"/>
    </xf>
    <xf numFmtId="0" fontId="0" fillId="20" borderId="24" xfId="0" applyFill="1" applyBorder="1" applyAlignment="1">
      <alignment horizontal="center"/>
    </xf>
    <xf numFmtId="0" fontId="0" fillId="20" borderId="26" xfId="0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1" fontId="0" fillId="3" borderId="24" xfId="0" applyNumberFormat="1" applyFill="1" applyBorder="1" applyAlignment="1">
      <alignment horizontal="center"/>
    </xf>
    <xf numFmtId="1" fontId="0" fillId="3" borderId="26" xfId="0" applyNumberFormat="1" applyFill="1" applyBorder="1" applyAlignment="1">
      <alignment horizontal="center"/>
    </xf>
    <xf numFmtId="1" fontId="0" fillId="3" borderId="30" xfId="0" applyNumberFormat="1" applyFill="1" applyBorder="1" applyAlignment="1">
      <alignment horizontal="center"/>
    </xf>
    <xf numFmtId="0" fontId="1" fillId="13" borderId="52" xfId="0" applyFont="1" applyFill="1" applyBorder="1" applyAlignment="1">
      <alignment horizontal="center" vertical="center"/>
    </xf>
    <xf numFmtId="0" fontId="1" fillId="13" borderId="32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0" fontId="1" fillId="8" borderId="52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0" fillId="17" borderId="50" xfId="0" applyFont="1" applyFill="1" applyBorder="1" applyAlignment="1">
      <alignment horizontal="center"/>
    </xf>
    <xf numFmtId="0" fontId="10" fillId="17" borderId="51" xfId="0" applyFont="1" applyFill="1" applyBorder="1" applyAlignment="1">
      <alignment horizontal="center"/>
    </xf>
    <xf numFmtId="1" fontId="13" fillId="7" borderId="50" xfId="0" applyNumberFormat="1" applyFont="1" applyFill="1" applyBorder="1" applyAlignment="1">
      <alignment horizontal="center"/>
    </xf>
    <xf numFmtId="1" fontId="13" fillId="7" borderId="51" xfId="0" applyNumberFormat="1" applyFont="1" applyFill="1" applyBorder="1" applyAlignment="1">
      <alignment horizontal="center"/>
    </xf>
    <xf numFmtId="1" fontId="13" fillId="7" borderId="49" xfId="0" applyNumberFormat="1" applyFont="1" applyFill="1" applyBorder="1" applyAlignment="1">
      <alignment horizontal="center"/>
    </xf>
    <xf numFmtId="0" fontId="3" fillId="5" borderId="53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55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FFCC00"/>
      <color rgb="FF669900"/>
      <color rgb="FFCC9900"/>
      <color rgb="FFCCFF33"/>
      <color rgb="FFFFE7E7"/>
      <color rgb="FFFFCCCC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80D28-0793-4932-9F84-E00976331C1B}" name="A" displayName="A" ref="U3:U8" totalsRowShown="0" headerRowDxfId="53" dataDxfId="51" headerRowBorderDxfId="52" tableBorderDxfId="50" totalsRowBorderDxfId="49">
  <autoFilter ref="U3:U8" xr:uid="{FE980D28-0793-4932-9F84-E00976331C1B}"/>
  <tableColumns count="1">
    <tableColumn id="1" xr3:uid="{3D97F461-B902-42E7-A346-56A19753AF43}" name="A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41D0D-A2F4-4584-BDB4-E488F1CBFEDB}" name="A2_" displayName="A2_" ref="V3:V5" totalsRowShown="0" headerRowDxfId="47" dataDxfId="45" headerRowBorderDxfId="46" tableBorderDxfId="44" totalsRowBorderDxfId="43">
  <autoFilter ref="V3:V5" xr:uid="{B8241D0D-A2F4-4584-BDB4-E488F1CBFEDB}"/>
  <tableColumns count="1">
    <tableColumn id="1" xr3:uid="{F89A011C-4AEA-4089-A7A3-C2E8624D5D68}" name="A2_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67AB12-AB0A-4080-84DD-D5BD8D37FC04}" name="B" displayName="B" ref="W3:W16" totalsRowShown="0" headerRowDxfId="41" dataDxfId="39" headerRowBorderDxfId="40" tableBorderDxfId="38" totalsRowBorderDxfId="37">
  <autoFilter ref="W3:W16" xr:uid="{6F67AB12-AB0A-4080-84DD-D5BD8D37FC04}"/>
  <tableColumns count="1">
    <tableColumn id="1" xr3:uid="{ADD75A34-D2F9-47B7-A5AF-D3F81D7FA313}" name="B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8F501-ACE2-48FE-9ED4-56B1622B06D7}" name="B2_" displayName="B2_" ref="X3:X12" totalsRowShown="0" headerRowDxfId="35" dataDxfId="33" headerRowBorderDxfId="34" tableBorderDxfId="32" totalsRowBorderDxfId="31">
  <autoFilter ref="X3:X12" xr:uid="{73C8F501-ACE2-48FE-9ED4-56B1622B06D7}"/>
  <tableColumns count="1">
    <tableColumn id="1" xr3:uid="{E0130924-33CB-4ACC-8D74-BE7B98B7FB71}" name="B2_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6E5687-5AAE-4C07-AD3B-D4C2B9ED8573}" name="C_" displayName="C_" ref="Y3:Y9" totalsRowShown="0" headerRowDxfId="29" dataDxfId="27" headerRowBorderDxfId="28" tableBorderDxfId="26" totalsRowBorderDxfId="25">
  <autoFilter ref="Y3:Y9" xr:uid="{626E5687-5AAE-4C07-AD3B-D4C2B9ED8573}"/>
  <tableColumns count="1">
    <tableColumn id="1" xr3:uid="{24380F5D-658B-41AD-958C-7E5DAF82A5E9}" name="C_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9CDF4D-D7C5-47BC-981C-E4D28BB36132}" name="D" displayName="D" ref="Z3:Z6" totalsRowShown="0" headerRowDxfId="23" dataDxfId="21" headerRowBorderDxfId="22" tableBorderDxfId="20" totalsRowBorderDxfId="19">
  <autoFilter ref="Z3:Z6" xr:uid="{E79CDF4D-D7C5-47BC-981C-E4D28BB36132}"/>
  <tableColumns count="1">
    <tableColumn id="1" xr3:uid="{596CA041-888B-47AA-93C6-A930DA6FE9BD}" name="D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B72B0F-BEB5-46C6-9761-DF9F605C9D8F}" name="E" displayName="E" ref="AA3:AA8" totalsRowShown="0" headerRowDxfId="17" dataDxfId="15" headerRowBorderDxfId="16" tableBorderDxfId="14" totalsRowBorderDxfId="13">
  <autoFilter ref="AA3:AA8" xr:uid="{95B72B0F-BEB5-46C6-9761-DF9F605C9D8F}"/>
  <tableColumns count="1">
    <tableColumn id="1" xr3:uid="{07991659-6643-44B0-96A6-5E5E7F7A2577}" name="E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FA475F-2554-467A-A175-2D0E5EE7820B}" name="F" displayName="F" ref="AB3:AB7" totalsRowShown="0" headerRowDxfId="11" dataDxfId="9" headerRowBorderDxfId="10" tableBorderDxfId="8" totalsRowBorderDxfId="7">
  <autoFilter ref="AB3:AB7" xr:uid="{18FA475F-2554-467A-A175-2D0E5EE7820B}"/>
  <tableColumns count="1">
    <tableColumn id="1" xr3:uid="{D0818125-0B4D-46CF-8186-6F21D830C5FF}" name="F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375729-8D13-4197-AF6D-CA5BC2A99DE8}" name="G" displayName="G" ref="AC3:AC8" totalsRowShown="0" headerRowDxfId="5" dataDxfId="3" headerRowBorderDxfId="4" tableBorderDxfId="2" totalsRowBorderDxfId="1">
  <autoFilter ref="AC3:AC8" xr:uid="{84375729-8D13-4197-AF6D-CA5BC2A99DE8}"/>
  <tableColumns count="1">
    <tableColumn id="1" xr3:uid="{2021120F-027A-46AB-83B3-D45C3F7D36A5}" name="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dbox.es/pt/campanulas-led-industriais/campanula-industrial-ufo-100w-epistar-triac" TargetMode="External"/><Relationship Id="rId2" Type="http://schemas.openxmlformats.org/officeDocument/2006/relationships/hyperlink" Target="https://www.ledbox.es/pt/campanula-linear-industrial-led/ecra-led-linelux-chip-50w-150cm" TargetMode="External"/><Relationship Id="rId1" Type="http://schemas.openxmlformats.org/officeDocument/2006/relationships/hyperlink" Target="https://www.sklum.com/pt/comprar-lampada-de-tecto/114909-plafon-led-o40-cm-cosmin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7AB2-11D1-408D-9F76-3829CECDDDE5}">
  <dimension ref="B2:R100"/>
  <sheetViews>
    <sheetView tabSelected="1" topLeftCell="A45" zoomScale="55" zoomScaleNormal="55" workbookViewId="0">
      <selection activeCell="K10" sqref="K10"/>
    </sheetView>
  </sheetViews>
  <sheetFormatPr defaultRowHeight="14.25" x14ac:dyDescent="0.45"/>
  <cols>
    <col min="2" max="2" width="32.19921875" customWidth="1"/>
    <col min="3" max="3" width="38.86328125" bestFit="1" customWidth="1"/>
    <col min="4" max="4" width="24.46484375" customWidth="1"/>
    <col min="5" max="5" width="14.19921875" customWidth="1"/>
    <col min="6" max="6" width="31.53125" customWidth="1"/>
    <col min="7" max="7" width="32.1328125" customWidth="1"/>
    <col min="8" max="8" width="23.53125" customWidth="1"/>
    <col min="9" max="9" width="82.46484375" bestFit="1" customWidth="1"/>
    <col min="10" max="10" width="20" customWidth="1"/>
    <col min="11" max="11" width="21" customWidth="1"/>
    <col min="12" max="12" width="12.19921875" customWidth="1"/>
    <col min="13" max="13" width="32.46484375" bestFit="1" customWidth="1"/>
    <col min="14" max="14" width="17.46484375" bestFit="1" customWidth="1"/>
    <col min="15" max="15" width="17.53125" customWidth="1"/>
    <col min="16" max="16" width="26.86328125" bestFit="1" customWidth="1"/>
    <col min="17" max="17" width="15.19921875" bestFit="1" customWidth="1"/>
    <col min="18" max="18" width="9.46484375" bestFit="1" customWidth="1"/>
    <col min="19" max="19" width="11.796875" customWidth="1"/>
    <col min="24" max="24" width="9.19921875" customWidth="1"/>
    <col min="25" max="25" width="11.19921875" customWidth="1"/>
  </cols>
  <sheetData>
    <row r="2" spans="2:18" ht="14.45" customHeight="1" x14ac:dyDescent="0.45">
      <c r="B2" s="88" t="s">
        <v>27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2:18" ht="15" customHeight="1" x14ac:dyDescent="0.4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2:18" ht="14.65" thickBot="1" x14ac:dyDescent="0.5"/>
    <row r="5" spans="2:18" x14ac:dyDescent="0.45">
      <c r="C5" s="97" t="s">
        <v>0</v>
      </c>
      <c r="D5" s="139"/>
      <c r="E5" s="98"/>
      <c r="F5" s="98"/>
      <c r="G5" s="98"/>
      <c r="H5" s="98"/>
      <c r="I5" s="99"/>
      <c r="J5" s="89" t="s">
        <v>113</v>
      </c>
      <c r="K5" s="89"/>
      <c r="L5" s="89"/>
      <c r="M5" s="89"/>
      <c r="N5" s="89"/>
      <c r="O5" s="90"/>
    </row>
    <row r="6" spans="2:18" x14ac:dyDescent="0.45">
      <c r="C6" s="100"/>
      <c r="D6" s="140"/>
      <c r="E6" s="101"/>
      <c r="F6" s="101"/>
      <c r="G6" s="101"/>
      <c r="H6" s="101"/>
      <c r="I6" s="102"/>
      <c r="J6" s="91"/>
      <c r="K6" s="91"/>
      <c r="L6" s="91"/>
      <c r="M6" s="91"/>
      <c r="N6" s="91"/>
      <c r="O6" s="92"/>
    </row>
    <row r="7" spans="2:18" ht="14.65" thickBot="1" x14ac:dyDescent="0.5">
      <c r="C7" s="103"/>
      <c r="D7" s="141"/>
      <c r="E7" s="104"/>
      <c r="F7" s="104"/>
      <c r="G7" s="104"/>
      <c r="H7" s="104"/>
      <c r="I7" s="105"/>
      <c r="J7" s="131"/>
      <c r="K7" s="131"/>
      <c r="L7" s="131"/>
      <c r="M7" s="131"/>
      <c r="N7" s="131"/>
      <c r="O7" s="132"/>
    </row>
    <row r="8" spans="2:18" x14ac:dyDescent="0.45">
      <c r="C8" s="111" t="s">
        <v>1</v>
      </c>
      <c r="D8" s="112"/>
      <c r="E8" s="112" t="s">
        <v>3</v>
      </c>
      <c r="F8" s="112" t="s">
        <v>4</v>
      </c>
      <c r="G8" s="83" t="s">
        <v>2</v>
      </c>
      <c r="H8" s="137" t="s">
        <v>5</v>
      </c>
      <c r="I8" s="84" t="s">
        <v>10</v>
      </c>
      <c r="J8" s="133" t="s">
        <v>6</v>
      </c>
      <c r="K8" s="93" t="s">
        <v>7</v>
      </c>
      <c r="L8" s="93" t="s">
        <v>8</v>
      </c>
      <c r="M8" s="83" t="s">
        <v>9</v>
      </c>
      <c r="N8" s="137" t="s">
        <v>5</v>
      </c>
      <c r="O8" s="84" t="s">
        <v>11</v>
      </c>
    </row>
    <row r="9" spans="2:18" ht="14.65" thickBot="1" x14ac:dyDescent="0.5">
      <c r="C9" s="113"/>
      <c r="D9" s="114"/>
      <c r="E9" s="114"/>
      <c r="F9" s="114"/>
      <c r="G9" s="82"/>
      <c r="H9" s="138"/>
      <c r="I9" s="85"/>
      <c r="J9" s="134"/>
      <c r="K9" s="94"/>
      <c r="L9" s="94"/>
      <c r="M9" s="82"/>
      <c r="N9" s="138"/>
      <c r="O9" s="85"/>
    </row>
    <row r="10" spans="2:18" x14ac:dyDescent="0.45">
      <c r="B10" s="47" t="s">
        <v>60</v>
      </c>
      <c r="C10" s="115" t="s">
        <v>70</v>
      </c>
      <c r="D10" s="116"/>
      <c r="E10" s="36">
        <v>7.5</v>
      </c>
      <c r="F10" s="36">
        <v>0.88</v>
      </c>
      <c r="G10" s="26">
        <f>E10/F10</f>
        <v>8.5227272727272734</v>
      </c>
      <c r="H10" s="42">
        <v>400</v>
      </c>
      <c r="I10" s="45">
        <f>IF(H10 = 400,(G10*1000)/(SQRT(3)*400),(G10*1000)/(230))</f>
        <v>12.301497212847142</v>
      </c>
      <c r="J10" s="60">
        <v>1</v>
      </c>
      <c r="K10" s="7">
        <v>0.8</v>
      </c>
      <c r="L10" s="7">
        <v>1</v>
      </c>
      <c r="M10" s="26">
        <f>G10*J10*K10*L10</f>
        <v>6.8181818181818192</v>
      </c>
      <c r="N10" s="42">
        <v>400</v>
      </c>
      <c r="O10" s="45">
        <f>IF(N10=400,(M10*1000)/(SQRT(3)*400),(M10*1000)/230)</f>
        <v>9.8411977702777129</v>
      </c>
    </row>
    <row r="11" spans="2:18" x14ac:dyDescent="0.45">
      <c r="B11" s="48" t="s">
        <v>61</v>
      </c>
      <c r="C11" s="117" t="s">
        <v>71</v>
      </c>
      <c r="D11" s="118"/>
      <c r="E11" s="35">
        <v>5.5</v>
      </c>
      <c r="F11" s="35">
        <v>0.88</v>
      </c>
      <c r="G11" s="34">
        <f>E11/F11</f>
        <v>6.25</v>
      </c>
      <c r="H11" s="43">
        <v>400</v>
      </c>
      <c r="I11" s="59">
        <f>IF(H11 = 400,(G11*1000)/(SQRT(3)*400),(G11*1000)/(230))</f>
        <v>9.0210979560879032</v>
      </c>
      <c r="J11" s="57">
        <v>1</v>
      </c>
      <c r="K11" s="3">
        <v>0.8</v>
      </c>
      <c r="L11" s="3">
        <v>1</v>
      </c>
      <c r="M11" s="34">
        <f>G11*J11*K11*L11</f>
        <v>5</v>
      </c>
      <c r="N11" s="43">
        <v>400</v>
      </c>
      <c r="O11" s="59">
        <f>IF(N11=400,(M11*1000)/(SQRT(3)*400),(M11*1000)/230)</f>
        <v>7.2168783648703219</v>
      </c>
    </row>
    <row r="12" spans="2:18" x14ac:dyDescent="0.45">
      <c r="B12" s="48" t="s">
        <v>62</v>
      </c>
      <c r="C12" s="117" t="s">
        <v>72</v>
      </c>
      <c r="D12" s="118"/>
      <c r="E12" s="35">
        <v>4</v>
      </c>
      <c r="F12" s="35">
        <v>0.9</v>
      </c>
      <c r="G12" s="34">
        <f t="shared" ref="G12:G19" si="0">E12/F12</f>
        <v>4.4444444444444446</v>
      </c>
      <c r="H12" s="43">
        <v>400</v>
      </c>
      <c r="I12" s="59">
        <f t="shared" ref="I12:I19" si="1">IF(H12 = 400,(G12*1000)/(SQRT(3)*400),(G12*1000)/(230))</f>
        <v>6.4150029909958421</v>
      </c>
      <c r="J12" s="57">
        <v>1</v>
      </c>
      <c r="K12" s="3">
        <v>0.8</v>
      </c>
      <c r="L12" s="3">
        <v>1</v>
      </c>
      <c r="M12" s="34">
        <f t="shared" ref="M12:M19" si="2">G12*J12*K12*L12</f>
        <v>3.5555555555555558</v>
      </c>
      <c r="N12" s="43">
        <v>400</v>
      </c>
      <c r="O12" s="59">
        <f t="shared" ref="O12:O19" si="3">IF(N12=400,(M12*1000)/(SQRT(3)*400),(M12*1000)/230)</f>
        <v>5.1320023927966734</v>
      </c>
    </row>
    <row r="13" spans="2:18" x14ac:dyDescent="0.45">
      <c r="B13" s="48" t="s">
        <v>63</v>
      </c>
      <c r="C13" s="117" t="s">
        <v>73</v>
      </c>
      <c r="D13" s="118"/>
      <c r="E13" s="35">
        <v>3</v>
      </c>
      <c r="F13" s="35">
        <v>0.9</v>
      </c>
      <c r="G13" s="34">
        <f t="shared" si="0"/>
        <v>3.333333333333333</v>
      </c>
      <c r="H13" s="43">
        <v>400</v>
      </c>
      <c r="I13" s="59">
        <f t="shared" si="1"/>
        <v>4.8112522432468809</v>
      </c>
      <c r="J13" s="57">
        <v>1</v>
      </c>
      <c r="K13" s="3">
        <v>0.8</v>
      </c>
      <c r="L13" s="3">
        <v>1</v>
      </c>
      <c r="M13" s="34">
        <f t="shared" si="2"/>
        <v>2.6666666666666665</v>
      </c>
      <c r="N13" s="43">
        <v>400</v>
      </c>
      <c r="O13" s="59">
        <f t="shared" si="3"/>
        <v>3.849001794597505</v>
      </c>
    </row>
    <row r="14" spans="2:18" x14ac:dyDescent="0.45">
      <c r="B14" s="48" t="s">
        <v>64</v>
      </c>
      <c r="C14" s="117" t="s">
        <v>74</v>
      </c>
      <c r="D14" s="118"/>
      <c r="E14" s="35">
        <v>6</v>
      </c>
      <c r="F14" s="35">
        <v>0.88</v>
      </c>
      <c r="G14" s="34">
        <f t="shared" si="0"/>
        <v>6.8181818181818183</v>
      </c>
      <c r="H14" s="43">
        <v>400</v>
      </c>
      <c r="I14" s="59">
        <f t="shared" si="1"/>
        <v>9.8411977702777111</v>
      </c>
      <c r="J14" s="57">
        <v>1</v>
      </c>
      <c r="K14" s="3">
        <v>0.8</v>
      </c>
      <c r="L14" s="3">
        <v>1</v>
      </c>
      <c r="M14" s="34">
        <f t="shared" si="2"/>
        <v>5.454545454545455</v>
      </c>
      <c r="N14" s="43">
        <v>400</v>
      </c>
      <c r="O14" s="59">
        <f t="shared" si="3"/>
        <v>7.8729582162221705</v>
      </c>
    </row>
    <row r="15" spans="2:18" x14ac:dyDescent="0.45">
      <c r="B15" s="48" t="s">
        <v>65</v>
      </c>
      <c r="C15" s="117" t="s">
        <v>75</v>
      </c>
      <c r="D15" s="118"/>
      <c r="E15" s="35">
        <v>5</v>
      </c>
      <c r="F15" s="35">
        <v>0.88</v>
      </c>
      <c r="G15" s="34">
        <f t="shared" si="0"/>
        <v>5.6818181818181817</v>
      </c>
      <c r="H15" s="43">
        <v>400</v>
      </c>
      <c r="I15" s="59">
        <f t="shared" si="1"/>
        <v>8.2009981418980935</v>
      </c>
      <c r="J15" s="57">
        <v>1</v>
      </c>
      <c r="K15" s="3">
        <v>0.8</v>
      </c>
      <c r="L15" s="3">
        <v>1</v>
      </c>
      <c r="M15" s="34">
        <f t="shared" si="2"/>
        <v>4.5454545454545459</v>
      </c>
      <c r="N15" s="43">
        <v>400</v>
      </c>
      <c r="O15" s="59">
        <f t="shared" si="3"/>
        <v>6.5607985135184759</v>
      </c>
    </row>
    <row r="16" spans="2:18" x14ac:dyDescent="0.45">
      <c r="B16" s="48" t="s">
        <v>66</v>
      </c>
      <c r="C16" s="117" t="s">
        <v>76</v>
      </c>
      <c r="D16" s="118"/>
      <c r="E16" s="35">
        <v>1.5</v>
      </c>
      <c r="F16" s="35">
        <v>0.9</v>
      </c>
      <c r="G16" s="34">
        <f t="shared" si="0"/>
        <v>1.6666666666666665</v>
      </c>
      <c r="H16" s="43">
        <v>400</v>
      </c>
      <c r="I16" s="59">
        <f t="shared" si="1"/>
        <v>2.4056261216234405</v>
      </c>
      <c r="J16" s="57">
        <v>1</v>
      </c>
      <c r="K16" s="3">
        <v>0.8</v>
      </c>
      <c r="L16" s="3">
        <v>1</v>
      </c>
      <c r="M16" s="34">
        <f t="shared" si="2"/>
        <v>1.3333333333333333</v>
      </c>
      <c r="N16" s="43">
        <v>400</v>
      </c>
      <c r="O16" s="59">
        <f t="shared" si="3"/>
        <v>1.9245008972987525</v>
      </c>
    </row>
    <row r="17" spans="2:18" x14ac:dyDescent="0.45">
      <c r="B17" s="48" t="s">
        <v>67</v>
      </c>
      <c r="C17" s="117" t="s">
        <v>77</v>
      </c>
      <c r="D17" s="118"/>
      <c r="E17" s="35">
        <v>4</v>
      </c>
      <c r="F17" s="35">
        <v>0.88</v>
      </c>
      <c r="G17" s="34">
        <f t="shared" si="0"/>
        <v>4.5454545454545459</v>
      </c>
      <c r="H17" s="43">
        <v>400</v>
      </c>
      <c r="I17" s="59">
        <f t="shared" si="1"/>
        <v>6.5607985135184759</v>
      </c>
      <c r="J17" s="57">
        <v>1</v>
      </c>
      <c r="K17" s="3">
        <v>0.8</v>
      </c>
      <c r="L17" s="3">
        <v>1</v>
      </c>
      <c r="M17" s="34">
        <f t="shared" si="2"/>
        <v>3.6363636363636367</v>
      </c>
      <c r="N17" s="43">
        <v>400</v>
      </c>
      <c r="O17" s="59">
        <f t="shared" si="3"/>
        <v>5.2486388108147803</v>
      </c>
    </row>
    <row r="18" spans="2:18" x14ac:dyDescent="0.45">
      <c r="B18" s="48" t="s">
        <v>68</v>
      </c>
      <c r="C18" s="117" t="s">
        <v>78</v>
      </c>
      <c r="D18" s="118"/>
      <c r="E18" s="35">
        <v>2.2000000000000002</v>
      </c>
      <c r="F18" s="35">
        <v>0.9</v>
      </c>
      <c r="G18" s="34">
        <f t="shared" si="0"/>
        <v>2.4444444444444446</v>
      </c>
      <c r="H18" s="43">
        <v>400</v>
      </c>
      <c r="I18" s="59">
        <f t="shared" si="1"/>
        <v>3.5282516450477135</v>
      </c>
      <c r="J18" s="57">
        <v>1</v>
      </c>
      <c r="K18" s="3">
        <v>0.8</v>
      </c>
      <c r="L18" s="3">
        <v>1</v>
      </c>
      <c r="M18" s="34">
        <f t="shared" si="2"/>
        <v>1.9555555555555557</v>
      </c>
      <c r="N18" s="43">
        <v>400</v>
      </c>
      <c r="O18" s="59">
        <f t="shared" si="3"/>
        <v>2.8226013160381704</v>
      </c>
    </row>
    <row r="19" spans="2:18" ht="14.65" thickBot="1" x14ac:dyDescent="0.5">
      <c r="B19" s="49" t="s">
        <v>69</v>
      </c>
      <c r="C19" s="135" t="s">
        <v>79</v>
      </c>
      <c r="D19" s="136"/>
      <c r="E19" s="40">
        <v>15</v>
      </c>
      <c r="F19" s="40">
        <v>0.93</v>
      </c>
      <c r="G19" s="41">
        <f t="shared" si="0"/>
        <v>16.129032258064516</v>
      </c>
      <c r="H19" s="44">
        <v>400</v>
      </c>
      <c r="I19" s="46">
        <f t="shared" si="1"/>
        <v>23.280252789904264</v>
      </c>
      <c r="J19" s="58">
        <v>1</v>
      </c>
      <c r="K19" s="8">
        <v>0.8</v>
      </c>
      <c r="L19" s="8">
        <v>1</v>
      </c>
      <c r="M19" s="41">
        <f t="shared" si="2"/>
        <v>12.903225806451614</v>
      </c>
      <c r="N19" s="44">
        <v>400</v>
      </c>
      <c r="O19" s="46">
        <f t="shared" si="3"/>
        <v>18.624202231923412</v>
      </c>
    </row>
    <row r="20" spans="2:18" ht="14.65" thickBot="1" x14ac:dyDescent="0.5">
      <c r="L20" s="10" t="s">
        <v>12</v>
      </c>
      <c r="M20" s="33">
        <f>SUM(M10:M19)</f>
        <v>47.868882372108182</v>
      </c>
    </row>
    <row r="23" spans="2:18" ht="14.45" customHeight="1" x14ac:dyDescent="0.45">
      <c r="B23" s="198" t="s">
        <v>116</v>
      </c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</row>
    <row r="24" spans="2:18" ht="14.45" customHeight="1" x14ac:dyDescent="0.45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</row>
    <row r="25" spans="2:18" ht="14.65" thickBot="1" x14ac:dyDescent="0.5"/>
    <row r="26" spans="2:18" ht="14.65" thickBot="1" x14ac:dyDescent="0.5">
      <c r="C26" s="149" t="s">
        <v>88</v>
      </c>
      <c r="D26" s="129"/>
      <c r="E26" s="129"/>
      <c r="F26" s="129" t="s">
        <v>89</v>
      </c>
      <c r="G26" s="130"/>
    </row>
    <row r="27" spans="2:18" x14ac:dyDescent="0.45">
      <c r="B27" s="125" t="s">
        <v>91</v>
      </c>
      <c r="C27" s="170" t="s">
        <v>92</v>
      </c>
      <c r="D27" s="170"/>
      <c r="E27" s="170"/>
      <c r="F27" s="127">
        <v>14</v>
      </c>
      <c r="G27" s="128"/>
    </row>
    <row r="28" spans="2:18" x14ac:dyDescent="0.45">
      <c r="B28" s="126"/>
      <c r="C28" s="171" t="s">
        <v>94</v>
      </c>
      <c r="D28" s="171"/>
      <c r="E28" s="171"/>
      <c r="F28" s="177">
        <v>25</v>
      </c>
      <c r="G28" s="178"/>
    </row>
    <row r="29" spans="2:18" x14ac:dyDescent="0.45">
      <c r="B29" s="126"/>
      <c r="C29" s="172" t="s">
        <v>96</v>
      </c>
      <c r="D29" s="172"/>
      <c r="E29" s="172"/>
      <c r="F29" s="179">
        <v>350</v>
      </c>
      <c r="G29" s="180"/>
    </row>
    <row r="30" spans="2:18" ht="14.65" thickBot="1" x14ac:dyDescent="0.5">
      <c r="B30" s="126"/>
      <c r="C30" s="171" t="s">
        <v>98</v>
      </c>
      <c r="D30" s="171"/>
      <c r="E30" s="171"/>
      <c r="F30" s="175">
        <v>7</v>
      </c>
      <c r="G30" s="176"/>
    </row>
    <row r="31" spans="2:18" ht="14.65" thickBot="1" x14ac:dyDescent="0.5">
      <c r="B31" s="173" t="s">
        <v>100</v>
      </c>
      <c r="C31" s="174"/>
      <c r="D31" s="174"/>
      <c r="E31" s="174"/>
      <c r="F31" s="144">
        <v>23</v>
      </c>
      <c r="G31" s="145"/>
    </row>
    <row r="34" spans="2:18" ht="14.45" customHeight="1" x14ac:dyDescent="0.45">
      <c r="B34" s="198" t="s">
        <v>80</v>
      </c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</row>
    <row r="35" spans="2:18" ht="14.45" customHeight="1" x14ac:dyDescent="0.45"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</row>
    <row r="36" spans="2:18" ht="14.65" thickBot="1" x14ac:dyDescent="0.5"/>
    <row r="37" spans="2:18" ht="18.399999999999999" thickBot="1" x14ac:dyDescent="0.5">
      <c r="B37" s="55" t="s">
        <v>81</v>
      </c>
      <c r="C37" s="161" t="s">
        <v>82</v>
      </c>
      <c r="D37" s="162"/>
      <c r="E37" s="162"/>
      <c r="F37" s="163" t="s">
        <v>83</v>
      </c>
      <c r="G37" s="164"/>
      <c r="H37" s="165" t="s">
        <v>84</v>
      </c>
      <c r="I37" s="153"/>
      <c r="J37" s="166" t="s">
        <v>85</v>
      </c>
      <c r="K37" s="153"/>
      <c r="L37" s="152" t="s">
        <v>86</v>
      </c>
      <c r="M37" s="153"/>
    </row>
    <row r="38" spans="2:18" x14ac:dyDescent="0.45">
      <c r="B38" s="50" t="s">
        <v>87</v>
      </c>
      <c r="C38" s="154">
        <v>12.06</v>
      </c>
      <c r="D38" s="155"/>
      <c r="E38" s="155"/>
      <c r="F38" s="156">
        <v>25</v>
      </c>
      <c r="G38" s="157"/>
      <c r="H38" s="158">
        <f>F38*C38</f>
        <v>301.5</v>
      </c>
      <c r="I38" s="159"/>
      <c r="J38" s="158">
        <v>4000</v>
      </c>
      <c r="K38" s="159"/>
      <c r="L38" s="160">
        <f>J38+H38</f>
        <v>4301.5</v>
      </c>
      <c r="M38" s="159"/>
    </row>
    <row r="39" spans="2:18" x14ac:dyDescent="0.45">
      <c r="B39" s="51" t="s">
        <v>90</v>
      </c>
      <c r="C39" s="150">
        <v>20.18</v>
      </c>
      <c r="D39" s="151"/>
      <c r="E39" s="151"/>
      <c r="F39" s="146">
        <v>25</v>
      </c>
      <c r="G39" s="147"/>
      <c r="H39" s="148">
        <f t="shared" ref="H39:H51" si="4">F39*C39</f>
        <v>504.5</v>
      </c>
      <c r="I39" s="143"/>
      <c r="J39" s="148">
        <v>8000</v>
      </c>
      <c r="K39" s="143"/>
      <c r="L39" s="142">
        <f t="shared" ref="L39:L45" si="5">J39+H39</f>
        <v>8504.5</v>
      </c>
      <c r="M39" s="143"/>
    </row>
    <row r="40" spans="2:18" x14ac:dyDescent="0.45">
      <c r="B40" s="51" t="s">
        <v>93</v>
      </c>
      <c r="C40" s="150">
        <v>7.46</v>
      </c>
      <c r="D40" s="151"/>
      <c r="E40" s="151"/>
      <c r="F40" s="146">
        <v>25</v>
      </c>
      <c r="G40" s="147"/>
      <c r="H40" s="148">
        <f t="shared" si="4"/>
        <v>186.5</v>
      </c>
      <c r="I40" s="143"/>
      <c r="J40" s="148">
        <v>3000</v>
      </c>
      <c r="K40" s="143"/>
      <c r="L40" s="142">
        <f t="shared" si="5"/>
        <v>3186.5</v>
      </c>
      <c r="M40" s="143"/>
    </row>
    <row r="41" spans="2:18" x14ac:dyDescent="0.45">
      <c r="B41" s="51" t="s">
        <v>95</v>
      </c>
      <c r="C41" s="119">
        <v>12.88</v>
      </c>
      <c r="D41" s="120"/>
      <c r="E41" s="120"/>
      <c r="F41" s="121">
        <v>25</v>
      </c>
      <c r="G41" s="122"/>
      <c r="H41" s="148">
        <f t="shared" si="4"/>
        <v>322</v>
      </c>
      <c r="I41" s="143"/>
      <c r="J41" s="167">
        <v>4000</v>
      </c>
      <c r="K41" s="168"/>
      <c r="L41" s="142">
        <f t="shared" si="5"/>
        <v>4322</v>
      </c>
      <c r="M41" s="143"/>
    </row>
    <row r="42" spans="2:18" x14ac:dyDescent="0.45">
      <c r="B42" s="51" t="s">
        <v>97</v>
      </c>
      <c r="C42" s="119">
        <v>56.63</v>
      </c>
      <c r="D42" s="120"/>
      <c r="E42" s="120"/>
      <c r="F42" s="121">
        <v>25</v>
      </c>
      <c r="G42" s="122"/>
      <c r="H42" s="148">
        <f t="shared" si="4"/>
        <v>1415.75</v>
      </c>
      <c r="I42" s="143"/>
      <c r="J42" s="167">
        <v>5000</v>
      </c>
      <c r="K42" s="168"/>
      <c r="L42" s="142">
        <f t="shared" si="5"/>
        <v>6415.75</v>
      </c>
      <c r="M42" s="143"/>
    </row>
    <row r="43" spans="2:18" x14ac:dyDescent="0.45">
      <c r="B43" s="51" t="s">
        <v>99</v>
      </c>
      <c r="C43" s="119">
        <v>48</v>
      </c>
      <c r="D43" s="120"/>
      <c r="E43" s="120"/>
      <c r="F43" s="121">
        <v>25</v>
      </c>
      <c r="G43" s="122"/>
      <c r="H43" s="148">
        <f t="shared" si="4"/>
        <v>1200</v>
      </c>
      <c r="I43" s="143"/>
      <c r="J43" s="167">
        <v>2000</v>
      </c>
      <c r="K43" s="168"/>
      <c r="L43" s="169">
        <f t="shared" si="5"/>
        <v>3200</v>
      </c>
      <c r="M43" s="168"/>
    </row>
    <row r="44" spans="2:18" x14ac:dyDescent="0.45">
      <c r="B44" s="51" t="s">
        <v>101</v>
      </c>
      <c r="C44" s="119">
        <v>60.7</v>
      </c>
      <c r="D44" s="120"/>
      <c r="E44" s="120"/>
      <c r="F44" s="121">
        <v>25</v>
      </c>
      <c r="G44" s="122"/>
      <c r="H44" s="148">
        <f t="shared" si="4"/>
        <v>1517.5</v>
      </c>
      <c r="I44" s="143"/>
      <c r="J44" s="167">
        <v>5000</v>
      </c>
      <c r="K44" s="168"/>
      <c r="L44" s="169">
        <f t="shared" si="5"/>
        <v>6517.5</v>
      </c>
      <c r="M44" s="168"/>
    </row>
    <row r="45" spans="2:18" x14ac:dyDescent="0.45">
      <c r="B45" s="51" t="s">
        <v>102</v>
      </c>
      <c r="C45" s="119">
        <v>28.38</v>
      </c>
      <c r="D45" s="120"/>
      <c r="E45" s="120"/>
      <c r="F45" s="121">
        <v>7</v>
      </c>
      <c r="G45" s="122"/>
      <c r="H45" s="148">
        <f t="shared" si="4"/>
        <v>198.66</v>
      </c>
      <c r="I45" s="143"/>
      <c r="J45" s="167">
        <v>3000</v>
      </c>
      <c r="K45" s="168"/>
      <c r="L45" s="169">
        <f t="shared" si="5"/>
        <v>3198.66</v>
      </c>
      <c r="M45" s="168"/>
    </row>
    <row r="46" spans="2:18" x14ac:dyDescent="0.45">
      <c r="B46" s="51" t="s">
        <v>103</v>
      </c>
      <c r="C46" s="119">
        <v>491.1</v>
      </c>
      <c r="D46" s="120"/>
      <c r="E46" s="120"/>
      <c r="F46" s="121">
        <v>37</v>
      </c>
      <c r="G46" s="122"/>
      <c r="H46" s="148">
        <f t="shared" si="4"/>
        <v>18170.7</v>
      </c>
      <c r="I46" s="143"/>
      <c r="J46" s="167">
        <v>0</v>
      </c>
      <c r="K46" s="168"/>
      <c r="L46" s="169">
        <f>H46*1.3</f>
        <v>23621.910000000003</v>
      </c>
      <c r="M46" s="168"/>
    </row>
    <row r="47" spans="2:18" x14ac:dyDescent="0.45">
      <c r="B47" s="51" t="s">
        <v>104</v>
      </c>
      <c r="C47" s="119">
        <v>20.190000000000001</v>
      </c>
      <c r="D47" s="120"/>
      <c r="E47" s="120"/>
      <c r="F47" s="121">
        <v>350</v>
      </c>
      <c r="G47" s="122"/>
      <c r="H47" s="148">
        <f t="shared" si="4"/>
        <v>7066.5</v>
      </c>
      <c r="I47" s="143"/>
      <c r="J47" s="167">
        <v>1500</v>
      </c>
      <c r="K47" s="168"/>
      <c r="L47" s="169">
        <f>H47+J47</f>
        <v>8566.5</v>
      </c>
      <c r="M47" s="168"/>
    </row>
    <row r="48" spans="2:18" x14ac:dyDescent="0.45">
      <c r="B48" s="51" t="s">
        <v>105</v>
      </c>
      <c r="C48" s="119">
        <v>20.59</v>
      </c>
      <c r="D48" s="120"/>
      <c r="E48" s="120"/>
      <c r="F48" s="121">
        <v>350</v>
      </c>
      <c r="G48" s="122"/>
      <c r="H48" s="148">
        <f t="shared" si="4"/>
        <v>7206.5</v>
      </c>
      <c r="I48" s="143"/>
      <c r="J48" s="167">
        <v>5000</v>
      </c>
      <c r="K48" s="168"/>
      <c r="L48" s="169">
        <f>H48+J48</f>
        <v>12206.5</v>
      </c>
      <c r="M48" s="168"/>
    </row>
    <row r="49" spans="2:18" x14ac:dyDescent="0.45">
      <c r="B49" s="51" t="s">
        <v>106</v>
      </c>
      <c r="C49" s="119">
        <v>522.23</v>
      </c>
      <c r="D49" s="120"/>
      <c r="E49" s="120"/>
      <c r="F49" s="121">
        <v>37</v>
      </c>
      <c r="G49" s="122"/>
      <c r="H49" s="148">
        <f t="shared" si="4"/>
        <v>19322.510000000002</v>
      </c>
      <c r="I49" s="143"/>
      <c r="J49" s="167">
        <v>0</v>
      </c>
      <c r="K49" s="168"/>
      <c r="L49" s="169">
        <f>H49*1.3</f>
        <v>25119.263000000003</v>
      </c>
      <c r="M49" s="168"/>
    </row>
    <row r="50" spans="2:18" x14ac:dyDescent="0.45">
      <c r="B50" s="51" t="s">
        <v>107</v>
      </c>
      <c r="C50" s="119">
        <v>64.290000000000006</v>
      </c>
      <c r="D50" s="120"/>
      <c r="E50" s="120"/>
      <c r="F50" s="121">
        <v>14</v>
      </c>
      <c r="G50" s="122"/>
      <c r="H50" s="148">
        <f t="shared" si="4"/>
        <v>900.06000000000006</v>
      </c>
      <c r="I50" s="143"/>
      <c r="J50" s="167">
        <v>1500</v>
      </c>
      <c r="K50" s="168"/>
      <c r="L50" s="169">
        <f>J50+H50</f>
        <v>2400.06</v>
      </c>
      <c r="M50" s="168"/>
    </row>
    <row r="51" spans="2:18" ht="14.65" thickBot="1" x14ac:dyDescent="0.5">
      <c r="B51" s="52" t="s">
        <v>108</v>
      </c>
      <c r="C51" s="181">
        <v>88.1</v>
      </c>
      <c r="D51" s="182"/>
      <c r="E51" s="182"/>
      <c r="F51" s="183">
        <v>14</v>
      </c>
      <c r="G51" s="184"/>
      <c r="H51" s="185">
        <f t="shared" si="4"/>
        <v>1233.3999999999999</v>
      </c>
      <c r="I51" s="186"/>
      <c r="J51" s="187">
        <v>1500</v>
      </c>
      <c r="K51" s="188"/>
      <c r="L51" s="189">
        <f>J51+H51</f>
        <v>2733.3999999999996</v>
      </c>
      <c r="M51" s="188"/>
    </row>
    <row r="52" spans="2:18" ht="14.65" thickBot="1" x14ac:dyDescent="0.5">
      <c r="F52" s="201" t="s">
        <v>12</v>
      </c>
      <c r="G52" s="202"/>
      <c r="H52" s="203">
        <f>SUM(H38:H51)</f>
        <v>59546.080000000002</v>
      </c>
      <c r="I52" s="204"/>
      <c r="J52" s="203">
        <f>SUM(J38:J51)</f>
        <v>43500</v>
      </c>
      <c r="K52" s="204"/>
      <c r="L52" s="205">
        <f>SUM(L38:L51)</f>
        <v>114294.04300000001</v>
      </c>
      <c r="M52" s="204"/>
    </row>
    <row r="55" spans="2:18" ht="14.45" customHeight="1" x14ac:dyDescent="0.45">
      <c r="B55" s="88" t="s">
        <v>114</v>
      </c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</row>
    <row r="56" spans="2:18" ht="14.45" customHeight="1" x14ac:dyDescent="0.45"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</row>
    <row r="57" spans="2:18" ht="14.65" thickBot="1" x14ac:dyDescent="0.5"/>
    <row r="58" spans="2:18" x14ac:dyDescent="0.45">
      <c r="B58" s="97" t="s">
        <v>0</v>
      </c>
      <c r="C58" s="98"/>
      <c r="D58" s="98"/>
      <c r="E58" s="98"/>
      <c r="F58" s="99"/>
      <c r="G58" s="206" t="s">
        <v>117</v>
      </c>
      <c r="H58" s="207"/>
      <c r="I58" s="207"/>
      <c r="J58" s="207"/>
      <c r="K58" s="207"/>
      <c r="L58" s="208"/>
    </row>
    <row r="59" spans="2:18" x14ac:dyDescent="0.45">
      <c r="B59" s="100"/>
      <c r="C59" s="101"/>
      <c r="D59" s="101"/>
      <c r="E59" s="101"/>
      <c r="F59" s="102"/>
      <c r="G59" s="209"/>
      <c r="H59" s="210"/>
      <c r="I59" s="210"/>
      <c r="J59" s="210"/>
      <c r="K59" s="210"/>
      <c r="L59" s="211"/>
    </row>
    <row r="60" spans="2:18" ht="14.65" thickBot="1" x14ac:dyDescent="0.5">
      <c r="B60" s="103"/>
      <c r="C60" s="104"/>
      <c r="D60" s="104"/>
      <c r="E60" s="104"/>
      <c r="F60" s="105"/>
      <c r="G60" s="212"/>
      <c r="H60" s="213"/>
      <c r="I60" s="213"/>
      <c r="J60" s="213"/>
      <c r="K60" s="213"/>
      <c r="L60" s="214"/>
    </row>
    <row r="61" spans="2:18" x14ac:dyDescent="0.45">
      <c r="B61" s="111" t="s">
        <v>115</v>
      </c>
      <c r="C61" s="83" t="s">
        <v>2</v>
      </c>
      <c r="D61" s="83"/>
      <c r="E61" s="137" t="s">
        <v>5</v>
      </c>
      <c r="F61" s="84" t="s">
        <v>10</v>
      </c>
      <c r="G61" s="86" t="s">
        <v>6</v>
      </c>
      <c r="H61" s="93" t="s">
        <v>7</v>
      </c>
      <c r="I61" s="93" t="s">
        <v>8</v>
      </c>
      <c r="J61" s="83" t="s">
        <v>9</v>
      </c>
      <c r="K61" s="137" t="s">
        <v>5</v>
      </c>
      <c r="L61" s="84" t="s">
        <v>11</v>
      </c>
    </row>
    <row r="62" spans="2:18" ht="14.65" thickBot="1" x14ac:dyDescent="0.5">
      <c r="B62" s="113"/>
      <c r="C62" s="82"/>
      <c r="D62" s="82"/>
      <c r="E62" s="138"/>
      <c r="F62" s="85"/>
      <c r="G62" s="87"/>
      <c r="H62" s="94"/>
      <c r="I62" s="94"/>
      <c r="J62" s="82"/>
      <c r="K62" s="138"/>
      <c r="L62" s="85"/>
    </row>
    <row r="63" spans="2:18" x14ac:dyDescent="0.45">
      <c r="B63" s="37" t="s">
        <v>109</v>
      </c>
      <c r="C63" s="123">
        <v>38.869999999999997</v>
      </c>
      <c r="D63" s="123"/>
      <c r="E63" s="42">
        <v>400</v>
      </c>
      <c r="F63" s="45">
        <v>56.104012408501887</v>
      </c>
      <c r="G63" s="60">
        <v>1</v>
      </c>
      <c r="H63" s="7">
        <v>0.7</v>
      </c>
      <c r="I63" s="7">
        <v>1</v>
      </c>
      <c r="J63" s="26">
        <v>27.208999999999996</v>
      </c>
      <c r="K63" s="42">
        <v>400</v>
      </c>
      <c r="L63" s="45">
        <v>39.272808685951311</v>
      </c>
    </row>
    <row r="64" spans="2:18" x14ac:dyDescent="0.45">
      <c r="B64" s="38" t="s">
        <v>110</v>
      </c>
      <c r="C64" s="124">
        <v>118.41</v>
      </c>
      <c r="D64" s="124"/>
      <c r="E64" s="43">
        <v>400</v>
      </c>
      <c r="F64" s="59">
        <v>170.91011343685898</v>
      </c>
      <c r="G64" s="57">
        <v>1</v>
      </c>
      <c r="H64" s="3">
        <v>0.8</v>
      </c>
      <c r="I64" s="3">
        <v>1</v>
      </c>
      <c r="J64" s="34">
        <v>94.728000000000009</v>
      </c>
      <c r="K64" s="43">
        <v>400</v>
      </c>
      <c r="L64" s="59">
        <v>136.72809074948719</v>
      </c>
    </row>
    <row r="65" spans="2:18" x14ac:dyDescent="0.45">
      <c r="B65" s="38" t="s">
        <v>111</v>
      </c>
      <c r="C65" s="124">
        <v>97.25</v>
      </c>
      <c r="D65" s="124"/>
      <c r="E65" s="43">
        <v>400</v>
      </c>
      <c r="F65" s="59">
        <v>140.36828419672776</v>
      </c>
      <c r="G65" s="57">
        <v>1</v>
      </c>
      <c r="H65" s="3">
        <v>0.8</v>
      </c>
      <c r="I65" s="3">
        <v>1</v>
      </c>
      <c r="J65" s="34">
        <v>77.800000000000011</v>
      </c>
      <c r="K65" s="43">
        <v>400</v>
      </c>
      <c r="L65" s="59">
        <v>112.29462735738224</v>
      </c>
    </row>
    <row r="66" spans="2:18" ht="14.65" thickBot="1" x14ac:dyDescent="0.5">
      <c r="B66" s="39" t="s">
        <v>112</v>
      </c>
      <c r="C66" s="110">
        <v>12.61</v>
      </c>
      <c r="D66" s="110"/>
      <c r="E66" s="44">
        <v>400</v>
      </c>
      <c r="F66" s="46">
        <v>18.200967236202953</v>
      </c>
      <c r="G66" s="58">
        <v>1</v>
      </c>
      <c r="H66" s="8">
        <v>0.9</v>
      </c>
      <c r="I66" s="8">
        <v>1</v>
      </c>
      <c r="J66" s="41">
        <v>11.349</v>
      </c>
      <c r="K66" s="44">
        <v>400</v>
      </c>
      <c r="L66" s="46">
        <v>16.380870512582657</v>
      </c>
    </row>
    <row r="69" spans="2:18" ht="14.45" customHeight="1" x14ac:dyDescent="0.45">
      <c r="B69" s="88" t="s">
        <v>151</v>
      </c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</row>
    <row r="70" spans="2:18" ht="14.45" customHeight="1" x14ac:dyDescent="0.45"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</row>
    <row r="71" spans="2:18" ht="14.25" customHeight="1" thickBot="1" x14ac:dyDescent="0.5"/>
    <row r="72" spans="2:18" ht="14.25" customHeight="1" x14ac:dyDescent="0.45">
      <c r="B72" s="106" t="s">
        <v>152</v>
      </c>
      <c r="C72" s="108" t="s">
        <v>153</v>
      </c>
      <c r="D72" s="95" t="s">
        <v>154</v>
      </c>
      <c r="E72" s="53"/>
      <c r="F72" s="53"/>
      <c r="G72" s="69"/>
      <c r="H72" s="69"/>
      <c r="I72" s="69"/>
      <c r="J72" s="69"/>
      <c r="K72" s="69"/>
      <c r="L72" s="69"/>
    </row>
    <row r="73" spans="2:18" ht="14.45" customHeight="1" x14ac:dyDescent="0.45">
      <c r="B73" s="107"/>
      <c r="C73" s="109"/>
      <c r="D73" s="96"/>
      <c r="E73" s="53"/>
      <c r="F73" s="53"/>
      <c r="G73" s="69"/>
      <c r="H73" s="69"/>
      <c r="I73" s="69"/>
      <c r="J73" s="69"/>
      <c r="K73" s="69"/>
      <c r="L73" s="69"/>
    </row>
    <row r="74" spans="2:18" ht="14.45" customHeight="1" thickBot="1" x14ac:dyDescent="0.5">
      <c r="B74" s="70" t="e">
        <f>#REF!</f>
        <v>#REF!</v>
      </c>
      <c r="C74" s="71">
        <v>0.75</v>
      </c>
      <c r="D74" s="72" t="e">
        <f>B74/C74</f>
        <v>#REF!</v>
      </c>
      <c r="E74" s="53"/>
      <c r="F74" s="53"/>
      <c r="G74" s="69"/>
      <c r="H74" s="69"/>
      <c r="I74" s="69"/>
      <c r="J74" s="69"/>
      <c r="K74" s="69"/>
      <c r="L74" s="69"/>
    </row>
    <row r="75" spans="2:18" x14ac:dyDescent="0.45"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spans="2:18" ht="14.75" customHeight="1" x14ac:dyDescent="0.45"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spans="2:18" ht="14.45" customHeight="1" x14ac:dyDescent="0.45">
      <c r="B77" s="88" t="s">
        <v>118</v>
      </c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</row>
    <row r="78" spans="2:18" ht="14.45" customHeight="1" x14ac:dyDescent="0.45"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</row>
    <row r="79" spans="2:18" ht="14.45" customHeight="1" thickBot="1" x14ac:dyDescent="0.5"/>
    <row r="80" spans="2:18" ht="14.45" customHeight="1" x14ac:dyDescent="0.45">
      <c r="B80" s="199" t="s">
        <v>81</v>
      </c>
      <c r="C80" s="190" t="s">
        <v>155</v>
      </c>
      <c r="D80" s="190" t="s">
        <v>156</v>
      </c>
      <c r="E80" s="190" t="s">
        <v>88</v>
      </c>
      <c r="F80" s="190" t="s">
        <v>157</v>
      </c>
      <c r="G80" s="190" t="s">
        <v>145</v>
      </c>
      <c r="H80" s="190" t="s">
        <v>158</v>
      </c>
      <c r="I80" s="190" t="s">
        <v>159</v>
      </c>
      <c r="J80" s="190" t="s">
        <v>160</v>
      </c>
      <c r="K80" s="190" t="s">
        <v>161</v>
      </c>
      <c r="L80" s="190" t="s">
        <v>133</v>
      </c>
      <c r="M80" s="192" t="s">
        <v>162</v>
      </c>
      <c r="N80" s="193"/>
      <c r="O80" s="193"/>
      <c r="P80" s="193"/>
      <c r="Q80" s="193"/>
      <c r="R80" s="194"/>
    </row>
    <row r="81" spans="2:18" ht="14.45" customHeight="1" thickBot="1" x14ac:dyDescent="0.5">
      <c r="B81" s="200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5"/>
      <c r="N81" s="196"/>
      <c r="O81" s="196"/>
      <c r="P81" s="196"/>
      <c r="Q81" s="196"/>
      <c r="R81" s="197"/>
    </row>
    <row r="82" spans="2:18" ht="14.45" customHeight="1" x14ac:dyDescent="0.45">
      <c r="B82" s="73" t="s">
        <v>119</v>
      </c>
      <c r="C82" s="74" t="s">
        <v>163</v>
      </c>
      <c r="D82" s="74">
        <v>300</v>
      </c>
      <c r="E82" s="74">
        <v>522.23</v>
      </c>
      <c r="F82" s="74">
        <f>E82*D82</f>
        <v>156669</v>
      </c>
      <c r="G82" s="74" t="s">
        <v>146</v>
      </c>
      <c r="H82" s="74">
        <v>6200</v>
      </c>
      <c r="I82" s="74" t="s">
        <v>164</v>
      </c>
      <c r="J82" s="74">
        <f t="shared" ref="J82:J95" si="6">F82/H82</f>
        <v>25.269193548387097</v>
      </c>
      <c r="K82" s="74">
        <v>25</v>
      </c>
      <c r="L82" s="74">
        <v>5</v>
      </c>
      <c r="M82" s="75" t="s">
        <v>137</v>
      </c>
      <c r="N82" s="75" t="s">
        <v>138</v>
      </c>
      <c r="O82" s="75" t="s">
        <v>139</v>
      </c>
      <c r="P82" s="76" t="s">
        <v>142</v>
      </c>
      <c r="Q82" s="75"/>
      <c r="R82" s="75"/>
    </row>
    <row r="83" spans="2:18" ht="14.45" customHeight="1" x14ac:dyDescent="0.45">
      <c r="B83" s="77" t="s">
        <v>120</v>
      </c>
      <c r="C83" s="78" t="s">
        <v>165</v>
      </c>
      <c r="D83" s="78">
        <v>800</v>
      </c>
      <c r="E83" s="78">
        <v>20.190000000000001</v>
      </c>
      <c r="F83" s="78">
        <f t="shared" ref="F83:F95" si="7">E83*D83</f>
        <v>16152.000000000002</v>
      </c>
      <c r="G83" s="78" t="s">
        <v>147</v>
      </c>
      <c r="H83" s="78">
        <v>12500</v>
      </c>
      <c r="I83" s="78" t="s">
        <v>166</v>
      </c>
      <c r="J83" s="78">
        <f t="shared" si="6"/>
        <v>1.2921600000000002</v>
      </c>
      <c r="K83" s="78">
        <v>1</v>
      </c>
      <c r="L83" s="78">
        <v>2</v>
      </c>
      <c r="M83" s="76" t="s">
        <v>142</v>
      </c>
      <c r="N83" s="76"/>
      <c r="O83" s="76"/>
      <c r="P83" s="76"/>
      <c r="Q83" s="76"/>
      <c r="R83" s="76"/>
    </row>
    <row r="84" spans="2:18" ht="14.45" customHeight="1" x14ac:dyDescent="0.45">
      <c r="B84" s="77" t="s">
        <v>121</v>
      </c>
      <c r="C84" s="78" t="s">
        <v>165</v>
      </c>
      <c r="D84" s="78">
        <v>800</v>
      </c>
      <c r="E84" s="78">
        <v>20.59</v>
      </c>
      <c r="F84" s="78">
        <f t="shared" si="7"/>
        <v>16472</v>
      </c>
      <c r="G84" s="78" t="s">
        <v>147</v>
      </c>
      <c r="H84" s="78">
        <v>12500</v>
      </c>
      <c r="I84" s="78" t="s">
        <v>166</v>
      </c>
      <c r="J84" s="78">
        <f t="shared" si="6"/>
        <v>1.31776</v>
      </c>
      <c r="K84" s="78">
        <v>1</v>
      </c>
      <c r="L84" s="78">
        <v>2</v>
      </c>
      <c r="M84" s="76" t="s">
        <v>142</v>
      </c>
      <c r="N84" s="76"/>
      <c r="O84" s="76"/>
      <c r="P84" s="76"/>
      <c r="Q84" s="76"/>
      <c r="R84" s="76"/>
    </row>
    <row r="85" spans="2:18" ht="14.45" customHeight="1" x14ac:dyDescent="0.45">
      <c r="B85" s="73" t="s">
        <v>122</v>
      </c>
      <c r="C85" s="74" t="s">
        <v>163</v>
      </c>
      <c r="D85" s="74">
        <v>300</v>
      </c>
      <c r="E85" s="74">
        <v>491.05</v>
      </c>
      <c r="F85" s="74">
        <f t="shared" si="7"/>
        <v>147315</v>
      </c>
      <c r="G85" s="74" t="s">
        <v>146</v>
      </c>
      <c r="H85" s="74">
        <v>6200</v>
      </c>
      <c r="I85" s="74" t="s">
        <v>164</v>
      </c>
      <c r="J85" s="74">
        <f t="shared" si="6"/>
        <v>23.760483870967743</v>
      </c>
      <c r="K85" s="74">
        <v>24</v>
      </c>
      <c r="L85" s="74">
        <v>5</v>
      </c>
      <c r="M85" s="75" t="s">
        <v>137</v>
      </c>
      <c r="N85" s="75" t="s">
        <v>138</v>
      </c>
      <c r="O85" s="75" t="s">
        <v>139</v>
      </c>
      <c r="P85" s="76" t="s">
        <v>142</v>
      </c>
      <c r="Q85" s="75"/>
      <c r="R85" s="75"/>
    </row>
    <row r="86" spans="2:18" ht="14.45" customHeight="1" x14ac:dyDescent="0.45">
      <c r="B86" s="77" t="s">
        <v>123</v>
      </c>
      <c r="C86" s="78" t="s">
        <v>163</v>
      </c>
      <c r="D86" s="78">
        <v>300</v>
      </c>
      <c r="E86" s="78">
        <v>64.290000000000006</v>
      </c>
      <c r="F86" s="78">
        <f t="shared" si="7"/>
        <v>19287.000000000004</v>
      </c>
      <c r="G86" s="78" t="s">
        <v>146</v>
      </c>
      <c r="H86" s="78">
        <v>6200</v>
      </c>
      <c r="I86" s="78" t="s">
        <v>164</v>
      </c>
      <c r="J86" s="78">
        <f t="shared" si="6"/>
        <v>3.1108064516129037</v>
      </c>
      <c r="K86" s="78">
        <v>3</v>
      </c>
      <c r="L86" s="78">
        <v>3</v>
      </c>
      <c r="M86" s="76" t="s">
        <v>141</v>
      </c>
      <c r="N86" s="76" t="s">
        <v>142</v>
      </c>
      <c r="O86" s="76"/>
      <c r="P86" s="76"/>
      <c r="Q86" s="76"/>
      <c r="R86" s="76"/>
    </row>
    <row r="87" spans="2:18" ht="14.45" customHeight="1" x14ac:dyDescent="0.45">
      <c r="B87" s="77" t="s">
        <v>124</v>
      </c>
      <c r="C87" s="78" t="s">
        <v>163</v>
      </c>
      <c r="D87" s="78">
        <v>300</v>
      </c>
      <c r="E87" s="78">
        <v>88.1</v>
      </c>
      <c r="F87" s="78">
        <f t="shared" si="7"/>
        <v>26430</v>
      </c>
      <c r="G87" s="78" t="s">
        <v>146</v>
      </c>
      <c r="H87" s="78">
        <v>6200</v>
      </c>
      <c r="I87" s="78" t="s">
        <v>164</v>
      </c>
      <c r="J87" s="78">
        <f t="shared" si="6"/>
        <v>4.2629032258064514</v>
      </c>
      <c r="K87" s="78">
        <v>4</v>
      </c>
      <c r="L87" s="78">
        <v>3</v>
      </c>
      <c r="M87" s="76" t="s">
        <v>141</v>
      </c>
      <c r="N87" s="76" t="s">
        <v>142</v>
      </c>
      <c r="O87" s="76"/>
      <c r="P87" s="76"/>
      <c r="Q87" s="76"/>
      <c r="R87" s="76"/>
    </row>
    <row r="88" spans="2:18" ht="14.45" customHeight="1" x14ac:dyDescent="0.45">
      <c r="B88" s="73" t="s">
        <v>125</v>
      </c>
      <c r="C88" s="74" t="s">
        <v>163</v>
      </c>
      <c r="D88" s="74">
        <v>300</v>
      </c>
      <c r="E88" s="74">
        <v>60.7</v>
      </c>
      <c r="F88" s="74">
        <f t="shared" si="7"/>
        <v>18210</v>
      </c>
      <c r="G88" s="74" t="s">
        <v>147</v>
      </c>
      <c r="H88" s="74">
        <v>12500</v>
      </c>
      <c r="I88" s="74" t="s">
        <v>166</v>
      </c>
      <c r="J88" s="74">
        <f t="shared" si="6"/>
        <v>1.4568000000000001</v>
      </c>
      <c r="K88" s="74">
        <v>2</v>
      </c>
      <c r="L88" s="74">
        <v>3</v>
      </c>
      <c r="M88" s="76" t="s">
        <v>141</v>
      </c>
      <c r="N88" s="76" t="s">
        <v>142</v>
      </c>
      <c r="O88" s="75"/>
      <c r="P88" s="75"/>
      <c r="Q88" s="75"/>
      <c r="R88" s="75"/>
    </row>
    <row r="89" spans="2:18" ht="14.45" customHeight="1" x14ac:dyDescent="0.45">
      <c r="B89" s="77" t="s">
        <v>126</v>
      </c>
      <c r="C89" s="78" t="s">
        <v>167</v>
      </c>
      <c r="D89" s="78">
        <v>150</v>
      </c>
      <c r="E89" s="78">
        <v>28.38</v>
      </c>
      <c r="F89" s="78">
        <f t="shared" si="7"/>
        <v>4257</v>
      </c>
      <c r="G89" s="78" t="s">
        <v>148</v>
      </c>
      <c r="H89" s="78">
        <v>2800</v>
      </c>
      <c r="I89" s="78" t="s">
        <v>168</v>
      </c>
      <c r="J89" s="78">
        <v>4</v>
      </c>
      <c r="K89" s="78">
        <v>4</v>
      </c>
      <c r="L89" s="78">
        <v>2</v>
      </c>
      <c r="M89" s="75" t="s">
        <v>140</v>
      </c>
      <c r="N89" s="76" t="s">
        <v>142</v>
      </c>
      <c r="O89" s="76"/>
      <c r="P89" s="76"/>
      <c r="Q89" s="76"/>
      <c r="R89" s="76"/>
    </row>
    <row r="90" spans="2:18" ht="14.45" customHeight="1" x14ac:dyDescent="0.45">
      <c r="B90" s="77" t="s">
        <v>127</v>
      </c>
      <c r="C90" s="78" t="s">
        <v>169</v>
      </c>
      <c r="D90" s="78">
        <v>500</v>
      </c>
      <c r="E90" s="78">
        <v>46.53</v>
      </c>
      <c r="F90" s="78">
        <f t="shared" si="7"/>
        <v>23265</v>
      </c>
      <c r="G90" s="78" t="s">
        <v>148</v>
      </c>
      <c r="H90" s="78">
        <v>2800</v>
      </c>
      <c r="I90" s="78" t="s">
        <v>168</v>
      </c>
      <c r="J90" s="78">
        <f t="shared" si="6"/>
        <v>8.3089285714285719</v>
      </c>
      <c r="K90" s="78">
        <v>8</v>
      </c>
      <c r="L90" s="78">
        <v>3</v>
      </c>
      <c r="M90" s="76" t="s">
        <v>142</v>
      </c>
      <c r="N90" s="76"/>
      <c r="O90" s="76"/>
      <c r="P90" s="76"/>
      <c r="Q90" s="76"/>
      <c r="R90" s="76"/>
    </row>
    <row r="91" spans="2:18" ht="14.45" customHeight="1" x14ac:dyDescent="0.45">
      <c r="B91" s="73" t="s">
        <v>128</v>
      </c>
      <c r="C91" s="74" t="s">
        <v>169</v>
      </c>
      <c r="D91" s="74">
        <v>500</v>
      </c>
      <c r="E91" s="74">
        <v>56.63</v>
      </c>
      <c r="F91" s="74">
        <f t="shared" si="7"/>
        <v>28315</v>
      </c>
      <c r="G91" s="74" t="s">
        <v>148</v>
      </c>
      <c r="H91" s="74">
        <v>2800</v>
      </c>
      <c r="I91" s="74" t="s">
        <v>168</v>
      </c>
      <c r="J91" s="74">
        <f t="shared" si="6"/>
        <v>10.112500000000001</v>
      </c>
      <c r="K91" s="74">
        <v>10</v>
      </c>
      <c r="L91" s="74">
        <v>10</v>
      </c>
      <c r="M91" s="75" t="s">
        <v>134</v>
      </c>
      <c r="N91" s="75" t="s">
        <v>135</v>
      </c>
      <c r="O91" s="75" t="s">
        <v>136</v>
      </c>
      <c r="P91" s="75" t="s">
        <v>140</v>
      </c>
      <c r="Q91" s="76" t="s">
        <v>143</v>
      </c>
      <c r="R91" s="76" t="s">
        <v>142</v>
      </c>
    </row>
    <row r="92" spans="2:18" ht="14.45" customHeight="1" x14ac:dyDescent="0.45">
      <c r="B92" s="77" t="s">
        <v>129</v>
      </c>
      <c r="C92" s="78" t="s">
        <v>169</v>
      </c>
      <c r="D92" s="78">
        <v>500</v>
      </c>
      <c r="E92" s="78">
        <v>12.88</v>
      </c>
      <c r="F92" s="78">
        <f t="shared" si="7"/>
        <v>6440</v>
      </c>
      <c r="G92" s="78" t="s">
        <v>148</v>
      </c>
      <c r="H92" s="78">
        <v>2800</v>
      </c>
      <c r="I92" s="78" t="s">
        <v>168</v>
      </c>
      <c r="J92" s="78">
        <f t="shared" si="6"/>
        <v>2.2999999999999998</v>
      </c>
      <c r="K92" s="78">
        <v>2</v>
      </c>
      <c r="L92" s="78">
        <v>4</v>
      </c>
      <c r="M92" s="76" t="s">
        <v>143</v>
      </c>
      <c r="N92" s="76" t="s">
        <v>144</v>
      </c>
      <c r="O92" s="76" t="s">
        <v>142</v>
      </c>
      <c r="P92" s="76"/>
      <c r="Q92" s="76"/>
      <c r="R92" s="76"/>
    </row>
    <row r="93" spans="2:18" ht="14.45" customHeight="1" x14ac:dyDescent="0.45">
      <c r="B93" s="77" t="s">
        <v>130</v>
      </c>
      <c r="C93" s="78" t="s">
        <v>169</v>
      </c>
      <c r="D93" s="78">
        <v>500</v>
      </c>
      <c r="E93" s="78">
        <v>7.46</v>
      </c>
      <c r="F93" s="78">
        <f t="shared" si="7"/>
        <v>3730</v>
      </c>
      <c r="G93" s="78" t="s">
        <v>148</v>
      </c>
      <c r="H93" s="78">
        <v>2800</v>
      </c>
      <c r="I93" s="78" t="s">
        <v>168</v>
      </c>
      <c r="J93" s="78">
        <f t="shared" si="6"/>
        <v>1.3321428571428571</v>
      </c>
      <c r="K93" s="78">
        <v>1</v>
      </c>
      <c r="L93" s="78">
        <v>4</v>
      </c>
      <c r="M93" s="76" t="s">
        <v>143</v>
      </c>
      <c r="N93" s="76" t="s">
        <v>144</v>
      </c>
      <c r="O93" s="76" t="s">
        <v>142</v>
      </c>
      <c r="P93" s="76"/>
      <c r="Q93" s="76"/>
      <c r="R93" s="76"/>
    </row>
    <row r="94" spans="2:18" ht="14.45" customHeight="1" x14ac:dyDescent="0.45">
      <c r="B94" s="73" t="s">
        <v>131</v>
      </c>
      <c r="C94" s="78" t="s">
        <v>169</v>
      </c>
      <c r="D94" s="78">
        <v>500</v>
      </c>
      <c r="E94" s="78">
        <v>20.18</v>
      </c>
      <c r="F94" s="78">
        <f t="shared" si="7"/>
        <v>10090</v>
      </c>
      <c r="G94" s="78" t="s">
        <v>148</v>
      </c>
      <c r="H94" s="78">
        <v>2800</v>
      </c>
      <c r="I94" s="78" t="s">
        <v>168</v>
      </c>
      <c r="J94" s="78">
        <f t="shared" si="6"/>
        <v>3.6035714285714286</v>
      </c>
      <c r="K94" s="78">
        <v>4</v>
      </c>
      <c r="L94" s="78">
        <v>5</v>
      </c>
      <c r="M94" s="76" t="s">
        <v>143</v>
      </c>
      <c r="N94" s="76" t="s">
        <v>144</v>
      </c>
      <c r="O94" s="76" t="s">
        <v>142</v>
      </c>
      <c r="P94" s="75"/>
      <c r="Q94" s="75"/>
      <c r="R94" s="75"/>
    </row>
    <row r="95" spans="2:18" ht="14.45" customHeight="1" thickBot="1" x14ac:dyDescent="0.5">
      <c r="B95" s="79" t="s">
        <v>132</v>
      </c>
      <c r="C95" s="80" t="s">
        <v>169</v>
      </c>
      <c r="D95" s="80">
        <v>500</v>
      </c>
      <c r="E95" s="80">
        <v>12.06</v>
      </c>
      <c r="F95" s="80">
        <f t="shared" si="7"/>
        <v>6030</v>
      </c>
      <c r="G95" s="80" t="s">
        <v>148</v>
      </c>
      <c r="H95" s="80">
        <v>2800</v>
      </c>
      <c r="I95" s="80" t="s">
        <v>168</v>
      </c>
      <c r="J95" s="80">
        <f t="shared" si="6"/>
        <v>2.1535714285714285</v>
      </c>
      <c r="K95" s="80">
        <v>2</v>
      </c>
      <c r="L95" s="80">
        <v>3</v>
      </c>
      <c r="M95" s="81" t="s">
        <v>143</v>
      </c>
      <c r="N95" s="81" t="s">
        <v>142</v>
      </c>
      <c r="O95" s="81"/>
      <c r="P95" s="81"/>
      <c r="Q95" s="81"/>
      <c r="R95" s="81"/>
    </row>
    <row r="99" ht="14.45" customHeight="1" x14ac:dyDescent="0.45"/>
    <row r="100" ht="14.45" customHeight="1" x14ac:dyDescent="0.45"/>
  </sheetData>
  <mergeCells count="153">
    <mergeCell ref="L80:L81"/>
    <mergeCell ref="M80:R81"/>
    <mergeCell ref="B77:R78"/>
    <mergeCell ref="B69:R70"/>
    <mergeCell ref="B55:R56"/>
    <mergeCell ref="B34:R35"/>
    <mergeCell ref="B23:R24"/>
    <mergeCell ref="B2:R3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F52:G52"/>
    <mergeCell ref="H52:I52"/>
    <mergeCell ref="J52:K52"/>
    <mergeCell ref="L52:M52"/>
    <mergeCell ref="G58:L60"/>
    <mergeCell ref="B61:B62"/>
    <mergeCell ref="E61:E62"/>
    <mergeCell ref="F61:F62"/>
    <mergeCell ref="G61:G62"/>
    <mergeCell ref="H61:H62"/>
    <mergeCell ref="I61:I62"/>
    <mergeCell ref="J61:J62"/>
    <mergeCell ref="K61:K62"/>
    <mergeCell ref="L61:L62"/>
    <mergeCell ref="C61:D62"/>
    <mergeCell ref="H49:I49"/>
    <mergeCell ref="J49:K49"/>
    <mergeCell ref="L49:M49"/>
    <mergeCell ref="C48:E48"/>
    <mergeCell ref="F48:G48"/>
    <mergeCell ref="H48:I48"/>
    <mergeCell ref="J48:K48"/>
    <mergeCell ref="L48:M48"/>
    <mergeCell ref="C51:E51"/>
    <mergeCell ref="F51:G51"/>
    <mergeCell ref="H51:I51"/>
    <mergeCell ref="J51:K51"/>
    <mergeCell ref="L51:M51"/>
    <mergeCell ref="C50:E50"/>
    <mergeCell ref="F50:G50"/>
    <mergeCell ref="H50:I50"/>
    <mergeCell ref="J50:K50"/>
    <mergeCell ref="L50:M50"/>
    <mergeCell ref="J47:K47"/>
    <mergeCell ref="L47:M47"/>
    <mergeCell ref="C46:E46"/>
    <mergeCell ref="F46:G46"/>
    <mergeCell ref="H46:I46"/>
    <mergeCell ref="J46:K46"/>
    <mergeCell ref="L46:M46"/>
    <mergeCell ref="C45:E45"/>
    <mergeCell ref="F45:G45"/>
    <mergeCell ref="H45:I45"/>
    <mergeCell ref="J45:K45"/>
    <mergeCell ref="L45:M45"/>
    <mergeCell ref="C47:E47"/>
    <mergeCell ref="F47:G47"/>
    <mergeCell ref="H47:I47"/>
    <mergeCell ref="H44:I44"/>
    <mergeCell ref="J44:K44"/>
    <mergeCell ref="L44:M44"/>
    <mergeCell ref="C27:E27"/>
    <mergeCell ref="C28:E28"/>
    <mergeCell ref="C29:E29"/>
    <mergeCell ref="C30:E30"/>
    <mergeCell ref="B31:E31"/>
    <mergeCell ref="F30:G30"/>
    <mergeCell ref="L40:M40"/>
    <mergeCell ref="F28:G28"/>
    <mergeCell ref="C41:E41"/>
    <mergeCell ref="F41:G41"/>
    <mergeCell ref="C43:E43"/>
    <mergeCell ref="F43:G43"/>
    <mergeCell ref="H43:I43"/>
    <mergeCell ref="J43:K43"/>
    <mergeCell ref="L43:M43"/>
    <mergeCell ref="H41:I41"/>
    <mergeCell ref="J41:K41"/>
    <mergeCell ref="L41:M41"/>
    <mergeCell ref="F29:G29"/>
    <mergeCell ref="H42:I42"/>
    <mergeCell ref="J42:K42"/>
    <mergeCell ref="L42:M42"/>
    <mergeCell ref="F31:G31"/>
    <mergeCell ref="F40:G40"/>
    <mergeCell ref="H40:I40"/>
    <mergeCell ref="J40:K40"/>
    <mergeCell ref="C26:E26"/>
    <mergeCell ref="C39:E39"/>
    <mergeCell ref="F39:G39"/>
    <mergeCell ref="H39:I39"/>
    <mergeCell ref="J39:K39"/>
    <mergeCell ref="L39:M39"/>
    <mergeCell ref="C40:E40"/>
    <mergeCell ref="L37:M37"/>
    <mergeCell ref="C38:E38"/>
    <mergeCell ref="F38:G38"/>
    <mergeCell ref="H38:I38"/>
    <mergeCell ref="J38:K38"/>
    <mergeCell ref="L38:M38"/>
    <mergeCell ref="C37:E37"/>
    <mergeCell ref="F37:G37"/>
    <mergeCell ref="H37:I37"/>
    <mergeCell ref="J37:K37"/>
    <mergeCell ref="B27:B30"/>
    <mergeCell ref="F27:G27"/>
    <mergeCell ref="F26:G26"/>
    <mergeCell ref="J5:O7"/>
    <mergeCell ref="J8:J9"/>
    <mergeCell ref="K8:K9"/>
    <mergeCell ref="L8:L9"/>
    <mergeCell ref="C18:D18"/>
    <mergeCell ref="C19:D19"/>
    <mergeCell ref="M8:M9"/>
    <mergeCell ref="N8:N9"/>
    <mergeCell ref="O8:O9"/>
    <mergeCell ref="C5:I7"/>
    <mergeCell ref="F8:F9"/>
    <mergeCell ref="G8:G9"/>
    <mergeCell ref="H8:H9"/>
    <mergeCell ref="I8:I9"/>
    <mergeCell ref="B72:B73"/>
    <mergeCell ref="C72:C73"/>
    <mergeCell ref="D72:D73"/>
    <mergeCell ref="C66:D66"/>
    <mergeCell ref="C8:D9"/>
    <mergeCell ref="C10:D10"/>
    <mergeCell ref="C11:D11"/>
    <mergeCell ref="C12:D12"/>
    <mergeCell ref="C13:D13"/>
    <mergeCell ref="C14:D14"/>
    <mergeCell ref="C15:D15"/>
    <mergeCell ref="C16:D16"/>
    <mergeCell ref="C17:D17"/>
    <mergeCell ref="B58:F60"/>
    <mergeCell ref="E8:E9"/>
    <mergeCell ref="C42:E42"/>
    <mergeCell ref="F42:G42"/>
    <mergeCell ref="C44:E44"/>
    <mergeCell ref="F44:G44"/>
    <mergeCell ref="C63:D63"/>
    <mergeCell ref="C64:D64"/>
    <mergeCell ref="C65:D65"/>
    <mergeCell ref="C49:E49"/>
    <mergeCell ref="F49:G49"/>
  </mergeCells>
  <hyperlinks>
    <hyperlink ref="I89" r:id="rId1" xr:uid="{761C90F8-9D35-460A-B46E-D3821EBFBBBE}"/>
    <hyperlink ref="I82" r:id="rId2" xr:uid="{A162B82B-92CF-4E88-B2ED-B2ACC8BF553C}"/>
    <hyperlink ref="I83" r:id="rId3" xr:uid="{EC8E7835-C3C1-4A0A-87D4-AA4868C51D69}"/>
  </hyperlinks>
  <pageMargins left="0.7" right="0.7" top="0.75" bottom="0.75" header="0.3" footer="0.3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53D943-EB9D-4A2C-8019-C28ABE5FD7F9}">
          <x14:formula1>
            <xm:f>'Auxiliares-D'!$B$3:$B$4</xm:f>
          </x14:formula1>
          <xm:sqref>H10:H19 N10:N19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3615-5E18-486D-954F-B8AC710D64FA}">
  <dimension ref="B2:AL30"/>
  <sheetViews>
    <sheetView zoomScale="70" zoomScaleNormal="70" workbookViewId="0"/>
  </sheetViews>
  <sheetFormatPr defaultRowHeight="14.25" x14ac:dyDescent="0.45"/>
  <cols>
    <col min="1" max="1" width="5.53125" customWidth="1"/>
    <col min="3" max="3" width="7" customWidth="1"/>
    <col min="6" max="6" width="13.86328125" customWidth="1"/>
    <col min="10" max="10" width="16.19921875" customWidth="1"/>
    <col min="11" max="11" width="9.46484375" customWidth="1"/>
    <col min="18" max="18" width="12.1328125" customWidth="1"/>
    <col min="19" max="19" width="15.46484375" customWidth="1"/>
    <col min="21" max="21" width="8.796875" customWidth="1"/>
    <col min="22" max="22" width="7.796875" customWidth="1"/>
    <col min="31" max="31" width="20.86328125" customWidth="1"/>
    <col min="32" max="32" width="13.46484375" customWidth="1"/>
    <col min="33" max="33" width="18.1328125" customWidth="1"/>
    <col min="34" max="34" width="30.1328125" customWidth="1"/>
    <col min="35" max="35" width="19.86328125" customWidth="1"/>
    <col min="36" max="36" width="18.86328125" customWidth="1"/>
    <col min="37" max="37" width="15.19921875" customWidth="1"/>
    <col min="38" max="38" width="24.19921875" customWidth="1"/>
  </cols>
  <sheetData>
    <row r="2" spans="2:38" ht="28.5" x14ac:dyDescent="0.45">
      <c r="B2" s="1" t="s">
        <v>13</v>
      </c>
      <c r="D2" s="1" t="s">
        <v>14</v>
      </c>
      <c r="F2" s="31" t="s">
        <v>52</v>
      </c>
      <c r="H2" s="216" t="s">
        <v>15</v>
      </c>
      <c r="I2" s="216"/>
      <c r="J2" s="30"/>
      <c r="L2" s="217" t="s">
        <v>28</v>
      </c>
      <c r="M2" s="218"/>
      <c r="N2" s="218"/>
      <c r="O2" s="219"/>
      <c r="R2" s="216" t="s">
        <v>42</v>
      </c>
      <c r="S2" s="216"/>
      <c r="U2" s="216" t="s">
        <v>41</v>
      </c>
      <c r="V2" s="216"/>
      <c r="W2" s="216"/>
      <c r="X2" s="216"/>
      <c r="Y2" s="216"/>
      <c r="Z2" s="216"/>
      <c r="AA2" s="216"/>
      <c r="AB2" s="216"/>
      <c r="AC2" s="216"/>
      <c r="AE2" s="31" t="s">
        <v>51</v>
      </c>
      <c r="AG2" s="215" t="s">
        <v>59</v>
      </c>
      <c r="AH2" s="215"/>
      <c r="AI2" s="61"/>
      <c r="AJ2" s="61"/>
      <c r="AK2" s="61"/>
      <c r="AL2" s="61"/>
    </row>
    <row r="3" spans="2:38" ht="14.45" customHeight="1" x14ac:dyDescent="0.45">
      <c r="B3" s="2">
        <v>230</v>
      </c>
      <c r="D3" s="2">
        <v>2</v>
      </c>
      <c r="F3" s="9" t="s">
        <v>16</v>
      </c>
      <c r="H3" s="5" t="s">
        <v>16</v>
      </c>
      <c r="I3" s="2" t="s">
        <v>22</v>
      </c>
      <c r="L3" s="220"/>
      <c r="M3" s="221"/>
      <c r="N3" s="221"/>
      <c r="O3" s="222"/>
      <c r="P3" s="12" t="s">
        <v>29</v>
      </c>
      <c r="R3" s="19" t="s">
        <v>43</v>
      </c>
      <c r="S3" s="19" t="s">
        <v>32</v>
      </c>
      <c r="U3" s="28" t="s">
        <v>33</v>
      </c>
      <c r="V3" s="28" t="s">
        <v>47</v>
      </c>
      <c r="W3" s="28" t="s">
        <v>34</v>
      </c>
      <c r="X3" s="28" t="s">
        <v>48</v>
      </c>
      <c r="Y3" s="28" t="s">
        <v>49</v>
      </c>
      <c r="Z3" s="28" t="s">
        <v>16</v>
      </c>
      <c r="AA3" s="28" t="s">
        <v>35</v>
      </c>
      <c r="AB3" s="28" t="s">
        <v>18</v>
      </c>
      <c r="AC3" s="28" t="s">
        <v>36</v>
      </c>
      <c r="AE3" s="2">
        <v>0.5</v>
      </c>
      <c r="AG3" s="65" t="s">
        <v>149</v>
      </c>
      <c r="AH3" s="65" t="s">
        <v>150</v>
      </c>
      <c r="AI3" s="61"/>
      <c r="AJ3" s="61"/>
      <c r="AK3" s="61"/>
      <c r="AL3" s="61"/>
    </row>
    <row r="4" spans="2:38" x14ac:dyDescent="0.45">
      <c r="B4" s="2">
        <v>400</v>
      </c>
      <c r="D4" s="2">
        <v>4</v>
      </c>
      <c r="F4" s="9" t="s">
        <v>17</v>
      </c>
      <c r="H4" s="5" t="s">
        <v>17</v>
      </c>
      <c r="I4" s="2" t="s">
        <v>23</v>
      </c>
      <c r="L4" s="15" t="s">
        <v>53</v>
      </c>
      <c r="M4" s="16"/>
      <c r="N4" s="16"/>
      <c r="O4" s="16"/>
      <c r="P4" s="13">
        <v>6</v>
      </c>
      <c r="R4" s="21" t="s">
        <v>30</v>
      </c>
      <c r="S4" s="32">
        <v>3.5999999999999997E-2</v>
      </c>
      <c r="U4" s="27">
        <v>1</v>
      </c>
      <c r="V4" s="27">
        <v>2</v>
      </c>
      <c r="W4" s="27">
        <v>3</v>
      </c>
      <c r="X4" s="27">
        <v>4</v>
      </c>
      <c r="Y4" s="27">
        <v>5</v>
      </c>
      <c r="Z4" s="27">
        <v>61</v>
      </c>
      <c r="AA4" s="27">
        <v>13</v>
      </c>
      <c r="AB4" s="27">
        <v>13</v>
      </c>
      <c r="AC4" s="27">
        <v>14</v>
      </c>
      <c r="AE4" s="2">
        <v>0.75</v>
      </c>
      <c r="AG4" s="66" t="str">
        <f>A[[#Headers],[A]]</f>
        <v>A</v>
      </c>
      <c r="AH4" s="66"/>
      <c r="AI4" s="62"/>
      <c r="AJ4" s="62"/>
      <c r="AK4" s="62"/>
      <c r="AL4" s="62"/>
    </row>
    <row r="5" spans="2:38" x14ac:dyDescent="0.45">
      <c r="D5" s="2">
        <v>6</v>
      </c>
      <c r="F5" s="9" t="s">
        <v>18</v>
      </c>
      <c r="H5" s="5" t="s">
        <v>18</v>
      </c>
      <c r="I5" s="2" t="s">
        <v>24</v>
      </c>
      <c r="J5" s="4" t="s">
        <v>21</v>
      </c>
      <c r="L5" s="15" t="s">
        <v>58</v>
      </c>
      <c r="M5" s="16"/>
      <c r="N5" s="16"/>
      <c r="O5" s="16"/>
      <c r="P5" s="13">
        <v>8</v>
      </c>
      <c r="R5" s="21" t="s">
        <v>31</v>
      </c>
      <c r="S5" s="32">
        <v>2.2499999999999999E-2</v>
      </c>
      <c r="U5" s="27">
        <v>51</v>
      </c>
      <c r="V5" s="29">
        <v>72</v>
      </c>
      <c r="W5" s="27">
        <v>21</v>
      </c>
      <c r="X5" s="27">
        <v>21</v>
      </c>
      <c r="Y5" s="27">
        <v>11</v>
      </c>
      <c r="Z5" s="27">
        <v>62</v>
      </c>
      <c r="AA5" s="27">
        <v>14</v>
      </c>
      <c r="AB5" s="27">
        <v>14</v>
      </c>
      <c r="AC5" s="27">
        <v>15</v>
      </c>
      <c r="AE5" s="2">
        <v>1</v>
      </c>
      <c r="AG5" s="66" t="str">
        <f>A2_[[#Headers],[A2_]]</f>
        <v>A2_</v>
      </c>
      <c r="AH5" s="2"/>
      <c r="AI5" s="63"/>
      <c r="AJ5" s="63"/>
      <c r="AK5" s="63"/>
      <c r="AL5" s="63"/>
    </row>
    <row r="6" spans="2:38" x14ac:dyDescent="0.45">
      <c r="D6" s="2">
        <v>10</v>
      </c>
      <c r="H6" s="5" t="s">
        <v>18</v>
      </c>
      <c r="I6" s="2" t="s">
        <v>25</v>
      </c>
      <c r="J6" s="4" t="s">
        <v>20</v>
      </c>
      <c r="L6" s="15" t="s">
        <v>54</v>
      </c>
      <c r="M6" s="16"/>
      <c r="N6" s="16"/>
      <c r="O6" s="16"/>
      <c r="P6" s="13">
        <v>3</v>
      </c>
      <c r="U6" s="27">
        <v>71</v>
      </c>
      <c r="V6" s="20"/>
      <c r="W6" s="27">
        <v>22</v>
      </c>
      <c r="X6" s="27">
        <v>22</v>
      </c>
      <c r="Y6" s="27" t="s">
        <v>38</v>
      </c>
      <c r="Z6" s="29">
        <v>63</v>
      </c>
      <c r="AA6" s="27">
        <v>15</v>
      </c>
      <c r="AB6" s="27">
        <v>15</v>
      </c>
      <c r="AC6" s="27">
        <v>16</v>
      </c>
      <c r="AE6" s="2">
        <v>1.5</v>
      </c>
      <c r="AG6" s="67" t="str">
        <f>B[[#Headers],[B]]</f>
        <v>B</v>
      </c>
      <c r="AH6" s="68"/>
      <c r="AI6" s="11"/>
      <c r="AJ6" s="11"/>
      <c r="AK6" s="11"/>
      <c r="AL6" s="11"/>
    </row>
    <row r="7" spans="2:38" x14ac:dyDescent="0.45">
      <c r="D7" s="2">
        <v>16</v>
      </c>
      <c r="H7" s="5" t="s">
        <v>18</v>
      </c>
      <c r="I7" s="2" t="s">
        <v>26</v>
      </c>
      <c r="J7" s="4" t="s">
        <v>19</v>
      </c>
      <c r="L7" s="15" t="s">
        <v>57</v>
      </c>
      <c r="M7" s="16"/>
      <c r="N7" s="16"/>
      <c r="O7" s="16"/>
      <c r="P7" s="13">
        <v>5</v>
      </c>
      <c r="U7" s="27">
        <v>73</v>
      </c>
      <c r="V7" s="20"/>
      <c r="W7" s="27">
        <v>23</v>
      </c>
      <c r="X7" s="27">
        <v>23</v>
      </c>
      <c r="Y7" s="27">
        <v>12</v>
      </c>
      <c r="Z7" s="20"/>
      <c r="AA7" s="27">
        <v>16</v>
      </c>
      <c r="AB7" s="29">
        <v>16</v>
      </c>
      <c r="AC7" s="27">
        <v>17</v>
      </c>
      <c r="AE7" s="2">
        <v>2.5</v>
      </c>
      <c r="AG7" s="67" t="str">
        <f>B2_[[#Headers],[B2_]]</f>
        <v>B2_</v>
      </c>
      <c r="AH7" s="6"/>
      <c r="AI7" s="11"/>
      <c r="AJ7" s="11"/>
      <c r="AK7" s="11"/>
      <c r="AL7" s="11"/>
    </row>
    <row r="8" spans="2:38" x14ac:dyDescent="0.45">
      <c r="D8" s="2">
        <v>20</v>
      </c>
      <c r="L8" s="15" t="s">
        <v>50</v>
      </c>
      <c r="M8" s="16"/>
      <c r="N8" s="16"/>
      <c r="O8" s="16"/>
      <c r="P8" s="13">
        <v>1</v>
      </c>
      <c r="R8" s="216" t="s">
        <v>44</v>
      </c>
      <c r="S8" s="216"/>
      <c r="U8" s="29">
        <v>74</v>
      </c>
      <c r="V8" s="20"/>
      <c r="W8" s="27">
        <v>24</v>
      </c>
      <c r="X8" s="27">
        <v>24</v>
      </c>
      <c r="Y8" s="27">
        <v>52</v>
      </c>
      <c r="Z8" s="20"/>
      <c r="AA8" s="29">
        <v>17</v>
      </c>
      <c r="AB8" s="20"/>
      <c r="AC8" s="29">
        <v>18</v>
      </c>
      <c r="AE8" s="2">
        <v>4</v>
      </c>
      <c r="AG8" s="66" t="str">
        <f>C_[[#Headers],[C_]]</f>
        <v>C_</v>
      </c>
      <c r="AH8" s="68"/>
      <c r="AI8" s="63"/>
      <c r="AJ8" s="63"/>
      <c r="AK8" s="63"/>
      <c r="AL8" s="63"/>
    </row>
    <row r="9" spans="2:38" x14ac:dyDescent="0.45">
      <c r="D9" s="2">
        <v>25</v>
      </c>
      <c r="L9" s="15" t="s">
        <v>55</v>
      </c>
      <c r="M9" s="16"/>
      <c r="N9" s="16"/>
      <c r="O9" s="16"/>
      <c r="P9" s="13">
        <v>0.5</v>
      </c>
      <c r="R9" s="22" t="s">
        <v>37</v>
      </c>
      <c r="S9" s="23"/>
      <c r="U9" s="20"/>
      <c r="V9" s="20"/>
      <c r="W9" s="27">
        <v>25</v>
      </c>
      <c r="X9" s="27">
        <v>25</v>
      </c>
      <c r="Y9" s="29">
        <v>53</v>
      </c>
      <c r="Z9" s="20"/>
      <c r="AA9" s="20"/>
      <c r="AB9" s="20"/>
      <c r="AC9" s="20"/>
      <c r="AE9" s="2">
        <v>6</v>
      </c>
      <c r="AG9" s="67" t="str">
        <f>D[[#Headers],[D]]</f>
        <v>D</v>
      </c>
      <c r="AH9" s="6"/>
      <c r="AI9" s="11"/>
      <c r="AJ9" s="11"/>
      <c r="AK9" s="11"/>
      <c r="AL9" s="11"/>
    </row>
    <row r="10" spans="2:38" ht="12.6" customHeight="1" x14ac:dyDescent="0.45">
      <c r="D10" s="2">
        <v>32</v>
      </c>
      <c r="L10" s="17" t="s">
        <v>56</v>
      </c>
      <c r="M10" s="18"/>
      <c r="N10" s="18"/>
      <c r="O10" s="18"/>
      <c r="P10" s="14">
        <v>1.5</v>
      </c>
      <c r="R10" s="22" t="s">
        <v>45</v>
      </c>
      <c r="S10" s="23"/>
      <c r="U10" s="20"/>
      <c r="V10" s="20"/>
      <c r="W10" s="27">
        <v>31</v>
      </c>
      <c r="X10" s="27" t="s">
        <v>39</v>
      </c>
      <c r="Y10" s="20"/>
      <c r="Z10" s="20"/>
      <c r="AA10" s="20"/>
      <c r="AB10" s="20"/>
      <c r="AC10" s="20"/>
      <c r="AE10" s="2">
        <v>10</v>
      </c>
      <c r="AG10" s="67" t="str">
        <f>E[[#Headers],[E]]</f>
        <v>E</v>
      </c>
      <c r="AH10" s="6"/>
      <c r="AI10" s="11"/>
      <c r="AJ10" s="11"/>
      <c r="AK10" s="11"/>
      <c r="AL10" s="11"/>
    </row>
    <row r="11" spans="2:38" x14ac:dyDescent="0.45">
      <c r="D11" s="2">
        <v>40</v>
      </c>
      <c r="R11" s="24" t="s">
        <v>46</v>
      </c>
      <c r="S11" s="25"/>
      <c r="U11" s="20"/>
      <c r="V11" s="20"/>
      <c r="W11" s="27">
        <v>32</v>
      </c>
      <c r="X11" s="27" t="s">
        <v>40</v>
      </c>
      <c r="Y11" s="20"/>
      <c r="Z11" s="20"/>
      <c r="AA11" s="20"/>
      <c r="AB11" s="20"/>
      <c r="AC11" s="20"/>
      <c r="AE11" s="2">
        <v>16</v>
      </c>
      <c r="AG11" s="66" t="str">
        <f>F[[#Headers],[F]]</f>
        <v>F</v>
      </c>
      <c r="AH11" s="68"/>
      <c r="AI11" s="63"/>
      <c r="AJ11" s="63"/>
      <c r="AK11" s="63"/>
      <c r="AL11" s="63"/>
    </row>
    <row r="12" spans="2:38" x14ac:dyDescent="0.45">
      <c r="D12" s="2">
        <v>50</v>
      </c>
      <c r="U12" s="20"/>
      <c r="V12" s="20"/>
      <c r="W12" s="27">
        <v>33</v>
      </c>
      <c r="X12" s="29">
        <v>41</v>
      </c>
      <c r="Y12" s="20"/>
      <c r="Z12" s="20"/>
      <c r="AA12" s="20"/>
      <c r="AB12" s="20"/>
      <c r="AC12" s="20"/>
      <c r="AE12" s="2">
        <v>25</v>
      </c>
      <c r="AG12" s="67" t="str">
        <f>G[[#Headers],[G]]</f>
        <v>G</v>
      </c>
      <c r="AH12" s="6"/>
      <c r="AI12" s="11"/>
      <c r="AJ12" s="11"/>
      <c r="AK12" s="11"/>
      <c r="AL12" s="11"/>
    </row>
    <row r="13" spans="2:38" x14ac:dyDescent="0.45">
      <c r="D13" s="2">
        <v>63</v>
      </c>
      <c r="U13" s="20"/>
      <c r="V13" s="20"/>
      <c r="W13" s="27">
        <v>34</v>
      </c>
      <c r="X13" s="20"/>
      <c r="Y13" s="20"/>
      <c r="Z13" s="20"/>
      <c r="AA13" s="20"/>
      <c r="AB13" s="20"/>
      <c r="AC13" s="20"/>
      <c r="AE13" s="2">
        <v>35</v>
      </c>
      <c r="AG13" s="56"/>
      <c r="AH13" s="11"/>
      <c r="AI13" s="11"/>
      <c r="AJ13" s="11"/>
      <c r="AK13" s="11"/>
      <c r="AL13" s="11"/>
    </row>
    <row r="14" spans="2:38" x14ac:dyDescent="0.45">
      <c r="D14" s="2">
        <v>80</v>
      </c>
      <c r="U14" s="20"/>
      <c r="V14" s="20"/>
      <c r="W14" s="27">
        <v>41</v>
      </c>
      <c r="X14" s="20"/>
      <c r="Y14" s="20"/>
      <c r="Z14" s="20"/>
      <c r="AA14" s="20"/>
      <c r="AB14" s="20"/>
      <c r="AC14" s="20"/>
      <c r="AE14" s="2">
        <v>50</v>
      </c>
      <c r="AG14" s="62"/>
      <c r="AH14" s="63"/>
      <c r="AI14" s="63"/>
      <c r="AJ14" s="63"/>
      <c r="AK14" s="63"/>
      <c r="AL14" s="63"/>
    </row>
    <row r="15" spans="2:38" x14ac:dyDescent="0.45">
      <c r="D15" s="2">
        <v>100</v>
      </c>
      <c r="U15" s="20"/>
      <c r="V15" s="20"/>
      <c r="W15" s="27">
        <v>42</v>
      </c>
      <c r="X15" s="20"/>
      <c r="Y15" s="20"/>
      <c r="Z15" s="20"/>
      <c r="AA15" s="20"/>
      <c r="AB15" s="20"/>
      <c r="AC15" s="20"/>
      <c r="AE15" s="2">
        <v>70</v>
      </c>
      <c r="AG15" s="56"/>
      <c r="AH15" s="11"/>
      <c r="AI15" s="11"/>
      <c r="AJ15" s="11"/>
      <c r="AK15" s="11"/>
      <c r="AL15" s="11"/>
    </row>
    <row r="16" spans="2:38" x14ac:dyDescent="0.45">
      <c r="D16" s="2">
        <v>125</v>
      </c>
      <c r="U16" s="20"/>
      <c r="V16" s="20"/>
      <c r="W16" s="29">
        <v>43</v>
      </c>
      <c r="X16" s="20"/>
      <c r="Y16" s="20"/>
      <c r="Z16" s="20"/>
      <c r="AA16" s="20"/>
      <c r="AB16" s="20"/>
      <c r="AC16" s="20"/>
      <c r="AE16" s="2">
        <v>75</v>
      </c>
      <c r="AG16" s="56"/>
      <c r="AH16" s="11"/>
      <c r="AI16" s="11"/>
      <c r="AJ16" s="11"/>
      <c r="AK16" s="11"/>
      <c r="AL16" s="11"/>
    </row>
    <row r="17" spans="4:38" x14ac:dyDescent="0.45">
      <c r="D17" s="2">
        <v>160</v>
      </c>
      <c r="AE17" s="2">
        <v>95</v>
      </c>
      <c r="AG17" s="62"/>
      <c r="AH17" s="63"/>
      <c r="AI17" s="63"/>
      <c r="AJ17" s="63"/>
      <c r="AK17" s="63"/>
      <c r="AL17" s="63"/>
    </row>
    <row r="18" spans="4:38" x14ac:dyDescent="0.45">
      <c r="D18" s="2">
        <v>200</v>
      </c>
      <c r="AE18" s="2">
        <v>120</v>
      </c>
      <c r="AG18" s="62"/>
      <c r="AH18" s="63"/>
      <c r="AI18" s="63"/>
      <c r="AJ18" s="63"/>
      <c r="AK18" s="63"/>
      <c r="AL18" s="63"/>
    </row>
    <row r="19" spans="4:38" x14ac:dyDescent="0.45">
      <c r="D19" s="2">
        <v>250</v>
      </c>
      <c r="AE19" s="2">
        <v>150</v>
      </c>
      <c r="AG19" s="62"/>
      <c r="AH19" s="63"/>
      <c r="AI19" s="63"/>
      <c r="AJ19" s="63"/>
      <c r="AK19" s="63"/>
      <c r="AL19" s="63"/>
    </row>
    <row r="20" spans="4:38" x14ac:dyDescent="0.45">
      <c r="D20" s="2">
        <v>315</v>
      </c>
      <c r="AE20" s="2">
        <v>185</v>
      </c>
      <c r="AG20" s="62"/>
      <c r="AH20" s="63"/>
      <c r="AI20" s="63"/>
      <c r="AJ20" s="63"/>
      <c r="AK20" s="63"/>
      <c r="AL20" s="63"/>
    </row>
    <row r="21" spans="4:38" x14ac:dyDescent="0.45">
      <c r="D21" s="2">
        <v>400</v>
      </c>
      <c r="AE21" s="2">
        <v>240</v>
      </c>
      <c r="AG21" s="62"/>
      <c r="AH21" s="64"/>
      <c r="AI21" s="63"/>
      <c r="AJ21" s="63"/>
      <c r="AK21" s="63"/>
      <c r="AL21" s="63"/>
    </row>
    <row r="22" spans="4:38" x14ac:dyDescent="0.45">
      <c r="D22" s="2">
        <v>500</v>
      </c>
      <c r="AE22" s="2">
        <v>300</v>
      </c>
      <c r="AG22" s="56"/>
      <c r="AH22" s="11"/>
      <c r="AI22" s="11"/>
      <c r="AJ22" s="11"/>
      <c r="AK22" s="63"/>
      <c r="AL22" s="11"/>
    </row>
    <row r="23" spans="4:38" x14ac:dyDescent="0.45">
      <c r="D23" s="2">
        <v>630</v>
      </c>
      <c r="AE23" s="2">
        <v>400</v>
      </c>
      <c r="AG23" s="56"/>
      <c r="AH23" s="11"/>
      <c r="AI23" s="11"/>
      <c r="AJ23" s="11"/>
      <c r="AK23" s="63"/>
      <c r="AL23" s="11"/>
    </row>
    <row r="24" spans="4:38" x14ac:dyDescent="0.45">
      <c r="D24" s="2">
        <v>800</v>
      </c>
      <c r="AE24" s="2">
        <v>500</v>
      </c>
      <c r="AG24" s="62"/>
      <c r="AH24" s="64"/>
      <c r="AI24" s="63"/>
      <c r="AJ24" s="63"/>
      <c r="AK24" s="63"/>
      <c r="AL24" s="63"/>
    </row>
    <row r="25" spans="4:38" x14ac:dyDescent="0.45">
      <c r="D25" s="2">
        <v>1000</v>
      </c>
      <c r="AE25" s="2">
        <v>630</v>
      </c>
      <c r="AG25" s="56"/>
      <c r="AH25" s="11"/>
      <c r="AI25" s="11"/>
      <c r="AJ25" s="11"/>
      <c r="AK25" s="63"/>
      <c r="AL25" s="11"/>
    </row>
    <row r="26" spans="4:38" x14ac:dyDescent="0.45">
      <c r="D26" s="2">
        <v>1600</v>
      </c>
      <c r="AG26" s="62"/>
      <c r="AH26" s="64"/>
      <c r="AI26" s="63"/>
      <c r="AJ26" s="63"/>
      <c r="AK26" s="63"/>
      <c r="AL26" s="63"/>
    </row>
    <row r="27" spans="4:38" x14ac:dyDescent="0.45">
      <c r="D27" s="2">
        <v>2000</v>
      </c>
      <c r="AG27" s="56"/>
      <c r="AH27" s="11"/>
      <c r="AI27" s="11"/>
      <c r="AJ27" s="11"/>
      <c r="AK27" s="63"/>
      <c r="AL27" s="11"/>
    </row>
    <row r="28" spans="4:38" x14ac:dyDescent="0.45">
      <c r="D28" s="2">
        <v>2500</v>
      </c>
    </row>
    <row r="29" spans="4:38" x14ac:dyDescent="0.45">
      <c r="D29" s="2">
        <v>3200</v>
      </c>
    </row>
    <row r="30" spans="4:38" x14ac:dyDescent="0.45">
      <c r="D30" s="2">
        <v>4000</v>
      </c>
    </row>
  </sheetData>
  <mergeCells count="6">
    <mergeCell ref="AG2:AH2"/>
    <mergeCell ref="R8:S8"/>
    <mergeCell ref="L2:O3"/>
    <mergeCell ref="H2:I2"/>
    <mergeCell ref="U2:AC2"/>
    <mergeCell ref="R2:S2"/>
  </mergeCells>
  <dataValidations disablePrompts="1" count="1">
    <dataValidation type="list" allowBlank="1" showInputMessage="1" showErrorMessage="1" sqref="B5" xr:uid="{E505DC69-D837-4A79-A8CF-8B5FB3D4A6F4}">
      <formula1>$B$3:$B$4</formula1>
    </dataValidation>
  </dataValidations>
  <pageMargins left="0.7" right="0.7" top="0.75" bottom="0.75" header="0.3" footer="0.3"/>
  <pageSetup paperSize="9" orientation="portrait" horizontalDpi="1200" verticalDpi="120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9</vt:i4>
      </vt:variant>
    </vt:vector>
  </HeadingPairs>
  <TitlesOfParts>
    <vt:vector size="11" baseType="lpstr">
      <vt:lpstr>Balanço de Potências</vt:lpstr>
      <vt:lpstr>Auxiliares-D</vt:lpstr>
      <vt:lpstr>Método_A</vt:lpstr>
      <vt:lpstr>Método_A2</vt:lpstr>
      <vt:lpstr>Método_B</vt:lpstr>
      <vt:lpstr>Método_B2</vt:lpstr>
      <vt:lpstr>Método_C</vt:lpstr>
      <vt:lpstr>Método_D</vt:lpstr>
      <vt:lpstr>Método_E</vt:lpstr>
      <vt:lpstr>Método_F</vt:lpstr>
      <vt:lpstr>Método_G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Xavier Guimarães de Azevedo</dc:creator>
  <cp:lastModifiedBy>Tiago Oliveira</cp:lastModifiedBy>
  <dcterms:created xsi:type="dcterms:W3CDTF">2025-09-27T11:16:20Z</dcterms:created>
  <dcterms:modified xsi:type="dcterms:W3CDTF">2026-03-11T22:23:24Z</dcterms:modified>
</cp:coreProperties>
</file>